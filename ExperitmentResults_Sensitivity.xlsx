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HR\Desktop\"/>
    </mc:Choice>
  </mc:AlternateContent>
  <xr:revisionPtr revIDLastSave="0" documentId="13_ncr:1_{A78D494A-2ED7-45A8-B5CF-C50E318C078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GA" sheetId="1" r:id="rId1"/>
    <sheet name="PH" sheetId="2" r:id="rId2"/>
    <sheet name="Comparis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2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2" i="3"/>
</calcChain>
</file>

<file path=xl/sharedStrings.xml><?xml version="1.0" encoding="utf-8"?>
<sst xmlns="http://schemas.openxmlformats.org/spreadsheetml/2006/main" count="954" uniqueCount="57">
  <si>
    <t>mainTest</t>
  </si>
  <si>
    <t>experiment</t>
  </si>
  <si>
    <t>expParameter</t>
  </si>
  <si>
    <t>experimentId</t>
  </si>
  <si>
    <t>objBest</t>
  </si>
  <si>
    <t>leadBest</t>
  </si>
  <si>
    <t>toolBest</t>
  </si>
  <si>
    <t>PalletBest</t>
  </si>
  <si>
    <t>avgDuration</t>
  </si>
  <si>
    <t>Sensitivity</t>
  </si>
  <si>
    <t>AM</t>
  </si>
  <si>
    <t>parameter</t>
  </si>
  <si>
    <t>run</t>
  </si>
  <si>
    <t>S</t>
  </si>
  <si>
    <t>TH</t>
  </si>
  <si>
    <t>runId</t>
  </si>
  <si>
    <t>GA</t>
  </si>
  <si>
    <t>PH</t>
  </si>
  <si>
    <t>Gemiddelde</t>
  </si>
  <si>
    <t>Variantie</t>
  </si>
  <si>
    <t>Waarnemingen</t>
  </si>
  <si>
    <t>Pearson-correlatie</t>
  </si>
  <si>
    <t>Schatting van verschil tussen gemiddelden</t>
  </si>
  <si>
    <t>Vrijheidsgraden</t>
  </si>
  <si>
    <t>T- statistische gegevens</t>
  </si>
  <si>
    <t>P(T&lt;=t) eenzijdig</t>
  </si>
  <si>
    <t>Kritiek gebied van T-toets: eenzijdig</t>
  </si>
  <si>
    <t>P(T&lt;=t) tweezijdig</t>
  </si>
  <si>
    <t>Kritiek gebied van T-toets: tweezijdig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</si>
  <si>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</si>
  <si>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</si>
  <si>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</si>
  <si>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</si>
  <si>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</si>
  <si>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</si>
  <si>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</si>
  <si>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</si>
  <si>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</si>
  <si>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</si>
  <si>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</si>
  <si>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S:8</t>
  </si>
  <si>
    <t>S:12</t>
  </si>
  <si>
    <t>S:24</t>
  </si>
  <si>
    <t>S:16</t>
  </si>
  <si>
    <t>S:20</t>
  </si>
  <si>
    <t>TH:0.75</t>
  </si>
  <si>
    <t>TH:1</t>
  </si>
  <si>
    <t>TH:1.25</t>
  </si>
  <si>
    <t>TH:1.5</t>
  </si>
  <si>
    <t>TH:1.75</t>
  </si>
  <si>
    <t>TH:2</t>
  </si>
  <si>
    <t>AM:1</t>
  </si>
  <si>
    <t>AM:0.75</t>
  </si>
  <si>
    <t>AM:0.5</t>
  </si>
  <si>
    <t>AM:0</t>
  </si>
  <si>
    <t>AM:0.25</t>
  </si>
  <si>
    <t>ObjBest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</si>
</sst>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1" fontId="2" fillId="0" borderId="0" xfId="0" applyNumberFormat="1" applyFont="1"/>
    <xf numFmtId="1" fontId="0" fillId="0" borderId="0" xfId="0" applyNumberFormat="1"/>
    <xf numFmtId="0" fontId="0" fillId="0" borderId="0" xfId="0" applyFill="1" applyBorder="1" applyAlignment="1"/>
    <xf numFmtId="0" fontId="0" fillId="0" borderId="3" xfId="0" applyFill="1" applyBorder="1" applyAlignment="1"/>
    <xf numFmtId="0" fontId="3" fillId="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1"/>
  <sheetViews>
    <sheetView workbookViewId="0">
      <selection activeCell="H21" sqref="H21"/>
    </sheetView>
  </sheetViews>
  <sheetFormatPr defaultRowHeight="15" x14ac:dyDescent="0.25"/>
  <cols>
    <col min="1" max="1" width="10.28515625" bestFit="1" customWidth="1"/>
    <col min="2" max="2" width="11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15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10</v>
      </c>
      <c r="C2">
        <v>0</v>
      </c>
      <c r="D2">
        <v>1</v>
      </c>
      <c r="E2">
        <v>1</v>
      </c>
      <c r="F2">
        <v>218742.0197</v>
      </c>
      <c r="G2">
        <v>999999</v>
      </c>
      <c r="H2">
        <v>999999</v>
      </c>
      <c r="I2">
        <v>9999999</v>
      </c>
      <c r="J2">
        <v>26.665037760000001</v>
      </c>
    </row>
    <row r="3" spans="1:10" x14ac:dyDescent="0.25">
      <c r="A3" t="s">
        <v>9</v>
      </c>
      <c r="B3" t="s">
        <v>10</v>
      </c>
      <c r="C3">
        <v>0</v>
      </c>
      <c r="D3">
        <v>1</v>
      </c>
      <c r="E3">
        <v>2</v>
      </c>
      <c r="F3">
        <v>221112.0197</v>
      </c>
      <c r="G3">
        <v>999999</v>
      </c>
      <c r="H3">
        <v>999999</v>
      </c>
      <c r="I3">
        <v>9999999</v>
      </c>
      <c r="J3">
        <v>27.359180899999998</v>
      </c>
    </row>
    <row r="4" spans="1:10" x14ac:dyDescent="0.25">
      <c r="A4" t="s">
        <v>9</v>
      </c>
      <c r="B4" t="s">
        <v>10</v>
      </c>
      <c r="C4">
        <v>0</v>
      </c>
      <c r="D4">
        <v>1</v>
      </c>
      <c r="E4">
        <v>3</v>
      </c>
      <c r="F4">
        <v>223446.0098</v>
      </c>
      <c r="G4">
        <v>999999</v>
      </c>
      <c r="H4">
        <v>999999</v>
      </c>
      <c r="I4">
        <v>9999999</v>
      </c>
      <c r="J4">
        <v>26.933877320000001</v>
      </c>
    </row>
    <row r="5" spans="1:10" x14ac:dyDescent="0.25">
      <c r="A5" t="s">
        <v>9</v>
      </c>
      <c r="B5" t="s">
        <v>10</v>
      </c>
      <c r="C5">
        <v>0</v>
      </c>
      <c r="D5">
        <v>1</v>
      </c>
      <c r="E5">
        <v>4</v>
      </c>
      <c r="F5">
        <v>220088.0295</v>
      </c>
      <c r="G5">
        <v>999999</v>
      </c>
      <c r="H5">
        <v>999999</v>
      </c>
      <c r="I5">
        <v>9999999</v>
      </c>
      <c r="J5">
        <v>26.90331016</v>
      </c>
    </row>
    <row r="6" spans="1:10" x14ac:dyDescent="0.25">
      <c r="A6" t="s">
        <v>9</v>
      </c>
      <c r="B6" t="s">
        <v>10</v>
      </c>
      <c r="C6">
        <v>0</v>
      </c>
      <c r="D6">
        <v>1</v>
      </c>
      <c r="E6">
        <v>5</v>
      </c>
      <c r="F6">
        <v>218946.0098</v>
      </c>
      <c r="G6">
        <v>999999</v>
      </c>
      <c r="H6">
        <v>999999</v>
      </c>
      <c r="I6">
        <v>9999999</v>
      </c>
      <c r="J6">
        <v>26.949176120000001</v>
      </c>
    </row>
    <row r="7" spans="1:10" x14ac:dyDescent="0.25">
      <c r="A7" t="s">
        <v>9</v>
      </c>
      <c r="B7" t="s">
        <v>10</v>
      </c>
      <c r="C7">
        <v>0</v>
      </c>
      <c r="D7">
        <v>1</v>
      </c>
      <c r="E7">
        <v>6</v>
      </c>
      <c r="F7">
        <v>222250.5526</v>
      </c>
      <c r="G7">
        <v>999999</v>
      </c>
      <c r="H7">
        <v>999999</v>
      </c>
      <c r="I7">
        <v>9999999</v>
      </c>
      <c r="J7">
        <v>26.75019619</v>
      </c>
    </row>
    <row r="8" spans="1:10" x14ac:dyDescent="0.25">
      <c r="A8" t="s">
        <v>9</v>
      </c>
      <c r="B8" t="s">
        <v>10</v>
      </c>
      <c r="C8">
        <v>0</v>
      </c>
      <c r="D8">
        <v>1</v>
      </c>
      <c r="E8">
        <v>7</v>
      </c>
      <c r="F8">
        <v>219213.64730000001</v>
      </c>
      <c r="G8">
        <v>999999</v>
      </c>
      <c r="H8">
        <v>999999</v>
      </c>
      <c r="I8">
        <v>9999999</v>
      </c>
      <c r="J8">
        <v>27.446305049999999</v>
      </c>
    </row>
    <row r="9" spans="1:10" x14ac:dyDescent="0.25">
      <c r="A9" t="s">
        <v>9</v>
      </c>
      <c r="B9" t="s">
        <v>10</v>
      </c>
      <c r="C9">
        <v>0</v>
      </c>
      <c r="D9">
        <v>1</v>
      </c>
      <c r="E9">
        <v>8</v>
      </c>
      <c r="F9">
        <v>221613.64730000001</v>
      </c>
      <c r="G9">
        <v>999999</v>
      </c>
      <c r="H9">
        <v>999999</v>
      </c>
      <c r="I9">
        <v>9999999</v>
      </c>
      <c r="J9">
        <v>26.872825859999999</v>
      </c>
    </row>
    <row r="10" spans="1:10" x14ac:dyDescent="0.25">
      <c r="A10" t="s">
        <v>9</v>
      </c>
      <c r="B10" t="s">
        <v>10</v>
      </c>
      <c r="C10">
        <v>0</v>
      </c>
      <c r="D10">
        <v>1</v>
      </c>
      <c r="E10">
        <v>9</v>
      </c>
      <c r="F10">
        <v>220817.63750000001</v>
      </c>
      <c r="G10">
        <v>999999</v>
      </c>
      <c r="H10">
        <v>999999</v>
      </c>
      <c r="I10">
        <v>9999999</v>
      </c>
      <c r="J10">
        <v>27.58816195</v>
      </c>
    </row>
    <row r="11" spans="1:10" x14ac:dyDescent="0.25">
      <c r="A11" t="s">
        <v>9</v>
      </c>
      <c r="B11" t="s">
        <v>10</v>
      </c>
      <c r="C11">
        <v>0</v>
      </c>
      <c r="D11">
        <v>1</v>
      </c>
      <c r="E11">
        <v>10</v>
      </c>
      <c r="F11">
        <v>219222.0197</v>
      </c>
      <c r="G11">
        <v>999999</v>
      </c>
      <c r="H11">
        <v>999999</v>
      </c>
      <c r="I11">
        <v>9999999</v>
      </c>
      <c r="J11">
        <v>27.11607025</v>
      </c>
    </row>
    <row r="12" spans="1:10" x14ac:dyDescent="0.25">
      <c r="A12" t="s">
        <v>9</v>
      </c>
      <c r="B12" t="s">
        <v>10</v>
      </c>
      <c r="C12">
        <v>0.25</v>
      </c>
      <c r="D12">
        <v>1</v>
      </c>
      <c r="F12">
        <v>225622.01966399999</v>
      </c>
      <c r="G12">
        <v>73252.019663999992</v>
      </c>
      <c r="H12">
        <v>74970</v>
      </c>
      <c r="I12">
        <v>77400</v>
      </c>
      <c r="J12">
        <v>19.942310345172881</v>
      </c>
    </row>
    <row r="13" spans="1:10" x14ac:dyDescent="0.25">
      <c r="A13" t="s">
        <v>9</v>
      </c>
      <c r="B13" t="s">
        <v>10</v>
      </c>
      <c r="C13">
        <v>0.25</v>
      </c>
      <c r="D13">
        <v>1</v>
      </c>
      <c r="F13">
        <v>223407.01467199999</v>
      </c>
      <c r="G13">
        <v>73507.01467199999</v>
      </c>
      <c r="H13">
        <v>75100</v>
      </c>
      <c r="I13">
        <v>74800</v>
      </c>
      <c r="J13">
        <v>20.83377842505773</v>
      </c>
    </row>
    <row r="14" spans="1:10" x14ac:dyDescent="0.25">
      <c r="A14" t="s">
        <v>9</v>
      </c>
      <c r="B14" t="s">
        <v>10</v>
      </c>
      <c r="C14">
        <v>0.25</v>
      </c>
      <c r="D14">
        <v>1</v>
      </c>
      <c r="F14">
        <v>219912.01966399999</v>
      </c>
      <c r="G14">
        <v>73252.019663999992</v>
      </c>
      <c r="H14">
        <v>73860</v>
      </c>
      <c r="I14">
        <v>72800</v>
      </c>
      <c r="J14">
        <v>21.015319482485449</v>
      </c>
    </row>
    <row r="15" spans="1:10" x14ac:dyDescent="0.25">
      <c r="A15" t="s">
        <v>9</v>
      </c>
      <c r="B15" t="s">
        <v>10</v>
      </c>
      <c r="C15">
        <v>0.25</v>
      </c>
      <c r="D15">
        <v>1</v>
      </c>
      <c r="F15">
        <v>223923.647344</v>
      </c>
      <c r="G15">
        <v>74063.647343999997</v>
      </c>
      <c r="H15">
        <v>74460</v>
      </c>
      <c r="I15">
        <v>75400</v>
      </c>
      <c r="J15">
        <v>20.873024940490719</v>
      </c>
    </row>
    <row r="16" spans="1:10" x14ac:dyDescent="0.25">
      <c r="A16" t="s">
        <v>9</v>
      </c>
      <c r="B16" t="s">
        <v>10</v>
      </c>
      <c r="C16">
        <v>0.25</v>
      </c>
      <c r="D16">
        <v>1</v>
      </c>
      <c r="F16">
        <v>222908.029496</v>
      </c>
      <c r="G16">
        <v>73878.029495999988</v>
      </c>
      <c r="H16">
        <v>74030</v>
      </c>
      <c r="I16">
        <v>75000</v>
      </c>
      <c r="J16">
        <v>20.586323781808218</v>
      </c>
    </row>
    <row r="17" spans="1:10" x14ac:dyDescent="0.25">
      <c r="A17" t="s">
        <v>9</v>
      </c>
      <c r="B17" t="s">
        <v>10</v>
      </c>
      <c r="C17">
        <v>0.25</v>
      </c>
      <c r="D17">
        <v>1</v>
      </c>
      <c r="F17">
        <v>221238.80530400001</v>
      </c>
      <c r="G17">
        <v>73198.80530399998</v>
      </c>
      <c r="H17">
        <v>74640</v>
      </c>
      <c r="I17">
        <v>73400</v>
      </c>
      <c r="J17">
        <v>20.850396410624189</v>
      </c>
    </row>
    <row r="18" spans="1:10" x14ac:dyDescent="0.25">
      <c r="A18" t="s">
        <v>9</v>
      </c>
      <c r="B18" t="s">
        <v>10</v>
      </c>
      <c r="C18">
        <v>0.25</v>
      </c>
      <c r="D18">
        <v>1</v>
      </c>
      <c r="F18">
        <v>231190</v>
      </c>
      <c r="G18">
        <v>74880</v>
      </c>
      <c r="H18">
        <v>75310</v>
      </c>
      <c r="I18">
        <v>81000</v>
      </c>
      <c r="J18">
        <v>21.154150112469988</v>
      </c>
    </row>
    <row r="19" spans="1:10" x14ac:dyDescent="0.25">
      <c r="A19" t="s">
        <v>9</v>
      </c>
      <c r="B19" t="s">
        <v>10</v>
      </c>
      <c r="C19">
        <v>0.25</v>
      </c>
      <c r="D19">
        <v>1</v>
      </c>
      <c r="F19">
        <v>222356.00983200001</v>
      </c>
      <c r="G19">
        <v>72626.009831999996</v>
      </c>
      <c r="H19">
        <v>75530</v>
      </c>
      <c r="I19">
        <v>74200</v>
      </c>
      <c r="J19">
        <v>20.790711267789209</v>
      </c>
    </row>
    <row r="20" spans="1:10" x14ac:dyDescent="0.25">
      <c r="A20" t="s">
        <v>9</v>
      </c>
      <c r="B20" t="s">
        <v>10</v>
      </c>
      <c r="C20">
        <v>0.25</v>
      </c>
      <c r="D20">
        <v>1</v>
      </c>
      <c r="F20">
        <v>225438.029496</v>
      </c>
      <c r="G20">
        <v>73878.029495999988</v>
      </c>
      <c r="H20">
        <v>74360</v>
      </c>
      <c r="I20">
        <v>77200</v>
      </c>
      <c r="J20">
        <v>20.952968303362528</v>
      </c>
    </row>
    <row r="21" spans="1:10" x14ac:dyDescent="0.25">
      <c r="A21" t="s">
        <v>9</v>
      </c>
      <c r="B21" t="s">
        <v>10</v>
      </c>
      <c r="C21">
        <v>0.25</v>
      </c>
      <c r="D21">
        <v>1</v>
      </c>
      <c r="F21">
        <v>223185.527</v>
      </c>
      <c r="G21">
        <v>74005.526999999987</v>
      </c>
      <c r="H21">
        <v>73780</v>
      </c>
      <c r="I21">
        <v>75400</v>
      </c>
      <c r="J21">
        <v>20.63565949201584</v>
      </c>
    </row>
    <row r="22" spans="1:10" x14ac:dyDescent="0.25">
      <c r="A22" t="s">
        <v>9</v>
      </c>
      <c r="B22" t="s">
        <v>10</v>
      </c>
      <c r="C22">
        <v>0.5</v>
      </c>
      <c r="D22">
        <v>1</v>
      </c>
      <c r="F22">
        <v>227221.62768000001</v>
      </c>
      <c r="G22">
        <v>73291.627679999991</v>
      </c>
      <c r="H22">
        <v>74330</v>
      </c>
      <c r="I22">
        <v>79600</v>
      </c>
      <c r="J22">
        <v>20.946331540743511</v>
      </c>
    </row>
    <row r="23" spans="1:10" x14ac:dyDescent="0.25">
      <c r="A23" t="s">
        <v>9</v>
      </c>
      <c r="B23" t="s">
        <v>10</v>
      </c>
      <c r="C23">
        <v>0.5</v>
      </c>
      <c r="D23">
        <v>1</v>
      </c>
      <c r="F23">
        <v>225486.00983200001</v>
      </c>
      <c r="G23">
        <v>72626.009831999996</v>
      </c>
      <c r="H23">
        <v>74860</v>
      </c>
      <c r="I23">
        <v>78000</v>
      </c>
      <c r="J23">
        <v>21.50845222473145</v>
      </c>
    </row>
    <row r="24" spans="1:10" x14ac:dyDescent="0.25">
      <c r="A24" t="s">
        <v>9</v>
      </c>
      <c r="B24" t="s">
        <v>10</v>
      </c>
      <c r="C24">
        <v>0.5</v>
      </c>
      <c r="D24">
        <v>1</v>
      </c>
      <c r="F24">
        <v>221962.01966399999</v>
      </c>
      <c r="G24">
        <v>73252.019663999992</v>
      </c>
      <c r="H24">
        <v>73710</v>
      </c>
      <c r="I24">
        <v>75000</v>
      </c>
      <c r="J24">
        <v>21.790324771404261</v>
      </c>
    </row>
    <row r="25" spans="1:10" x14ac:dyDescent="0.25">
      <c r="A25" t="s">
        <v>9</v>
      </c>
      <c r="B25" t="s">
        <v>10</v>
      </c>
      <c r="C25">
        <v>0.5</v>
      </c>
      <c r="D25">
        <v>1</v>
      </c>
      <c r="F25">
        <v>221431.62768000001</v>
      </c>
      <c r="G25">
        <v>72811.627679999991</v>
      </c>
      <c r="H25">
        <v>73420</v>
      </c>
      <c r="I25">
        <v>75200</v>
      </c>
      <c r="J25">
        <v>21.356888409455621</v>
      </c>
    </row>
    <row r="26" spans="1:10" x14ac:dyDescent="0.25">
      <c r="A26" t="s">
        <v>9</v>
      </c>
      <c r="B26" t="s">
        <v>10</v>
      </c>
      <c r="C26">
        <v>0.5</v>
      </c>
      <c r="D26">
        <v>1</v>
      </c>
      <c r="F26">
        <v>225266.00983200001</v>
      </c>
      <c r="G26">
        <v>69746.009831999996</v>
      </c>
      <c r="H26">
        <v>74720</v>
      </c>
      <c r="I26">
        <v>80800</v>
      </c>
      <c r="J26">
        <v>21.292097687721249</v>
      </c>
    </row>
    <row r="27" spans="1:10" x14ac:dyDescent="0.25">
      <c r="A27" t="s">
        <v>9</v>
      </c>
      <c r="B27" t="s">
        <v>10</v>
      </c>
      <c r="C27">
        <v>0.5</v>
      </c>
      <c r="D27">
        <v>1</v>
      </c>
      <c r="F27">
        <v>227160</v>
      </c>
      <c r="G27">
        <v>72000</v>
      </c>
      <c r="H27">
        <v>73960</v>
      </c>
      <c r="I27">
        <v>81200</v>
      </c>
      <c r="J27">
        <v>21.2556300441424</v>
      </c>
    </row>
    <row r="28" spans="1:10" x14ac:dyDescent="0.25">
      <c r="A28" t="s">
        <v>9</v>
      </c>
      <c r="B28" t="s">
        <v>10</v>
      </c>
      <c r="C28">
        <v>0.5</v>
      </c>
      <c r="D28">
        <v>1</v>
      </c>
      <c r="F28">
        <v>227632.01966399999</v>
      </c>
      <c r="G28">
        <v>73252.019663999992</v>
      </c>
      <c r="H28">
        <v>74380</v>
      </c>
      <c r="I28">
        <v>80000</v>
      </c>
      <c r="J28">
        <v>21.205400268236801</v>
      </c>
    </row>
    <row r="29" spans="1:10" x14ac:dyDescent="0.25">
      <c r="A29" t="s">
        <v>9</v>
      </c>
      <c r="B29" t="s">
        <v>10</v>
      </c>
      <c r="C29">
        <v>0.5</v>
      </c>
      <c r="D29">
        <v>1</v>
      </c>
      <c r="F29">
        <v>223690</v>
      </c>
      <c r="G29">
        <v>72000</v>
      </c>
      <c r="H29">
        <v>74290</v>
      </c>
      <c r="I29">
        <v>77400</v>
      </c>
      <c r="J29">
        <v>21.14749404191971</v>
      </c>
    </row>
    <row r="30" spans="1:10" x14ac:dyDescent="0.25">
      <c r="A30" t="s">
        <v>9</v>
      </c>
      <c r="B30" t="s">
        <v>10</v>
      </c>
      <c r="C30">
        <v>0.5</v>
      </c>
      <c r="D30">
        <v>1</v>
      </c>
      <c r="F30">
        <v>222936.00983200001</v>
      </c>
      <c r="G30">
        <v>72626.009831999996</v>
      </c>
      <c r="H30">
        <v>73910</v>
      </c>
      <c r="I30">
        <v>76400</v>
      </c>
      <c r="J30">
        <v>21.512712951501211</v>
      </c>
    </row>
    <row r="31" spans="1:10" x14ac:dyDescent="0.25">
      <c r="A31" t="s">
        <v>9</v>
      </c>
      <c r="B31" t="s">
        <v>10</v>
      </c>
      <c r="C31">
        <v>0.5</v>
      </c>
      <c r="D31">
        <v>1</v>
      </c>
      <c r="F31">
        <v>224306.00983200001</v>
      </c>
      <c r="G31">
        <v>72626.009831999996</v>
      </c>
      <c r="H31">
        <v>74280</v>
      </c>
      <c r="I31">
        <v>77400</v>
      </c>
      <c r="J31">
        <v>21.40572831233343</v>
      </c>
    </row>
    <row r="32" spans="1:10" x14ac:dyDescent="0.25">
      <c r="A32" t="s">
        <v>9</v>
      </c>
      <c r="B32" t="s">
        <v>10</v>
      </c>
      <c r="C32">
        <v>0.75</v>
      </c>
      <c r="D32">
        <v>1</v>
      </c>
      <c r="F32">
        <v>239205.527</v>
      </c>
      <c r="G32">
        <v>74005.526999999987</v>
      </c>
      <c r="H32">
        <v>74200</v>
      </c>
      <c r="I32">
        <v>91000</v>
      </c>
      <c r="J32">
        <v>21.676722979545591</v>
      </c>
    </row>
    <row r="33" spans="1:10" x14ac:dyDescent="0.25">
      <c r="A33" t="s">
        <v>9</v>
      </c>
      <c r="B33" t="s">
        <v>10</v>
      </c>
      <c r="C33">
        <v>0.75</v>
      </c>
      <c r="D33">
        <v>1</v>
      </c>
      <c r="F33">
        <v>237668.029496</v>
      </c>
      <c r="G33">
        <v>73878.029495999988</v>
      </c>
      <c r="H33">
        <v>74990</v>
      </c>
      <c r="I33">
        <v>88800</v>
      </c>
      <c r="J33">
        <v>21.24690250555674</v>
      </c>
    </row>
    <row r="34" spans="1:10" x14ac:dyDescent="0.25">
      <c r="A34" t="s">
        <v>9</v>
      </c>
      <c r="B34" t="s">
        <v>10</v>
      </c>
      <c r="C34">
        <v>0.75</v>
      </c>
      <c r="D34">
        <v>1</v>
      </c>
      <c r="F34">
        <v>242152.59200800001</v>
      </c>
      <c r="G34">
        <v>73752.592007999992</v>
      </c>
      <c r="H34">
        <v>75200</v>
      </c>
      <c r="I34">
        <v>93200</v>
      </c>
      <c r="J34">
        <v>21.20633169809977</v>
      </c>
    </row>
    <row r="35" spans="1:10" x14ac:dyDescent="0.25">
      <c r="A35" t="s">
        <v>9</v>
      </c>
      <c r="B35" t="s">
        <v>10</v>
      </c>
      <c r="C35">
        <v>0.75</v>
      </c>
      <c r="D35">
        <v>1</v>
      </c>
      <c r="F35">
        <v>236376.00983200001</v>
      </c>
      <c r="G35">
        <v>75986.009831999996</v>
      </c>
      <c r="H35">
        <v>74390</v>
      </c>
      <c r="I35">
        <v>86000</v>
      </c>
      <c r="J35">
        <v>21.22143491506576</v>
      </c>
    </row>
    <row r="36" spans="1:10" x14ac:dyDescent="0.25">
      <c r="A36" t="s">
        <v>9</v>
      </c>
      <c r="B36" t="s">
        <v>10</v>
      </c>
      <c r="C36">
        <v>0.75</v>
      </c>
      <c r="D36">
        <v>1</v>
      </c>
      <c r="F36">
        <v>239756.00983200001</v>
      </c>
      <c r="G36">
        <v>75506.009831999996</v>
      </c>
      <c r="H36">
        <v>74650</v>
      </c>
      <c r="I36">
        <v>89600</v>
      </c>
      <c r="J36">
        <v>21.088276735941569</v>
      </c>
    </row>
    <row r="37" spans="1:10" x14ac:dyDescent="0.25">
      <c r="A37" t="s">
        <v>9</v>
      </c>
      <c r="B37" t="s">
        <v>10</v>
      </c>
      <c r="C37">
        <v>0.75</v>
      </c>
      <c r="D37">
        <v>1</v>
      </c>
      <c r="F37">
        <v>236178.029496</v>
      </c>
      <c r="G37">
        <v>73878.029495999988</v>
      </c>
      <c r="H37">
        <v>74300</v>
      </c>
      <c r="I37">
        <v>88000</v>
      </c>
      <c r="J37">
        <v>21.345512398084001</v>
      </c>
    </row>
    <row r="38" spans="1:10" x14ac:dyDescent="0.25">
      <c r="A38" t="s">
        <v>9</v>
      </c>
      <c r="B38" t="s">
        <v>10</v>
      </c>
      <c r="C38">
        <v>0.75</v>
      </c>
      <c r="D38">
        <v>1</v>
      </c>
      <c r="F38">
        <v>242466.76269599999</v>
      </c>
      <c r="G38">
        <v>75576.762695999976</v>
      </c>
      <c r="H38">
        <v>74890</v>
      </c>
      <c r="I38">
        <v>92000</v>
      </c>
      <c r="J38">
        <v>21.26677536169688</v>
      </c>
    </row>
    <row r="39" spans="1:10" x14ac:dyDescent="0.25">
      <c r="A39" t="s">
        <v>9</v>
      </c>
      <c r="B39" t="s">
        <v>10</v>
      </c>
      <c r="C39">
        <v>0.75</v>
      </c>
      <c r="D39">
        <v>1</v>
      </c>
      <c r="F39">
        <v>237424.99867999999</v>
      </c>
      <c r="G39">
        <v>75734.99867999999</v>
      </c>
      <c r="H39">
        <v>74690</v>
      </c>
      <c r="I39">
        <v>87000</v>
      </c>
      <c r="J39">
        <v>21.27472959359487</v>
      </c>
    </row>
    <row r="40" spans="1:10" x14ac:dyDescent="0.25">
      <c r="A40" t="s">
        <v>9</v>
      </c>
      <c r="B40" t="s">
        <v>10</v>
      </c>
      <c r="C40">
        <v>0.75</v>
      </c>
      <c r="D40">
        <v>1</v>
      </c>
      <c r="F40">
        <v>240213.647344</v>
      </c>
      <c r="G40">
        <v>74063.647343999997</v>
      </c>
      <c r="H40">
        <v>73750</v>
      </c>
      <c r="I40">
        <v>92400</v>
      </c>
      <c r="J40">
        <v>20.990179669857021</v>
      </c>
    </row>
    <row r="41" spans="1:10" x14ac:dyDescent="0.25">
      <c r="A41" t="s">
        <v>9</v>
      </c>
      <c r="B41" t="s">
        <v>10</v>
      </c>
      <c r="C41">
        <v>0.75</v>
      </c>
      <c r="D41">
        <v>1</v>
      </c>
      <c r="F41">
        <v>237650</v>
      </c>
      <c r="G41">
        <v>74880</v>
      </c>
      <c r="H41">
        <v>74370</v>
      </c>
      <c r="I41">
        <v>88400</v>
      </c>
      <c r="J41">
        <v>21.18145475387573</v>
      </c>
    </row>
    <row r="42" spans="1:10" x14ac:dyDescent="0.25">
      <c r="A42" t="s">
        <v>9</v>
      </c>
      <c r="B42" t="s">
        <v>10</v>
      </c>
      <c r="C42">
        <v>1</v>
      </c>
      <c r="D42">
        <v>1</v>
      </c>
      <c r="F42">
        <v>227501.631272</v>
      </c>
      <c r="G42">
        <v>72411.631271999999</v>
      </c>
      <c r="H42">
        <v>73690</v>
      </c>
      <c r="I42">
        <v>81400</v>
      </c>
      <c r="J42">
        <v>21.15648369789124</v>
      </c>
    </row>
    <row r="43" spans="1:10" x14ac:dyDescent="0.25">
      <c r="A43" t="s">
        <v>9</v>
      </c>
      <c r="B43" t="s">
        <v>10</v>
      </c>
      <c r="C43">
        <v>1</v>
      </c>
      <c r="D43">
        <v>1</v>
      </c>
      <c r="F43">
        <v>226168.029496</v>
      </c>
      <c r="G43">
        <v>70998.029495999988</v>
      </c>
      <c r="H43">
        <v>74370</v>
      </c>
      <c r="I43">
        <v>80800</v>
      </c>
      <c r="J43">
        <v>21.274221980571749</v>
      </c>
    </row>
    <row r="44" spans="1:10" x14ac:dyDescent="0.25">
      <c r="A44" t="s">
        <v>9</v>
      </c>
      <c r="B44" t="s">
        <v>10</v>
      </c>
      <c r="C44">
        <v>1</v>
      </c>
      <c r="D44">
        <v>1</v>
      </c>
      <c r="F44">
        <v>223706.00983200001</v>
      </c>
      <c r="G44">
        <v>72626.009831999996</v>
      </c>
      <c r="H44">
        <v>73880</v>
      </c>
      <c r="I44">
        <v>77200</v>
      </c>
      <c r="J44">
        <v>21.26543542146683</v>
      </c>
    </row>
    <row r="45" spans="1:10" x14ac:dyDescent="0.25">
      <c r="A45" t="s">
        <v>9</v>
      </c>
      <c r="B45" t="s">
        <v>10</v>
      </c>
      <c r="C45">
        <v>1</v>
      </c>
      <c r="D45">
        <v>1</v>
      </c>
      <c r="F45">
        <v>226382.11112799999</v>
      </c>
      <c r="G45">
        <v>71272.11112799999</v>
      </c>
      <c r="H45">
        <v>73710</v>
      </c>
      <c r="I45">
        <v>81400</v>
      </c>
      <c r="J45">
        <v>21.302418299516042</v>
      </c>
    </row>
    <row r="46" spans="1:10" x14ac:dyDescent="0.25">
      <c r="A46" t="s">
        <v>9</v>
      </c>
      <c r="B46" t="s">
        <v>10</v>
      </c>
      <c r="C46">
        <v>1</v>
      </c>
      <c r="D46">
        <v>1</v>
      </c>
      <c r="F46">
        <v>226909.51716799999</v>
      </c>
      <c r="G46">
        <v>70499.517167999991</v>
      </c>
      <c r="H46">
        <v>73610</v>
      </c>
      <c r="I46">
        <v>82800</v>
      </c>
      <c r="J46">
        <v>20.881140188376111</v>
      </c>
    </row>
    <row r="47" spans="1:10" x14ac:dyDescent="0.25">
      <c r="A47" t="s">
        <v>9</v>
      </c>
      <c r="B47" t="s">
        <v>10</v>
      </c>
      <c r="C47">
        <v>1</v>
      </c>
      <c r="D47">
        <v>1</v>
      </c>
      <c r="F47">
        <v>224133.647344</v>
      </c>
      <c r="G47">
        <v>71183.647343999997</v>
      </c>
      <c r="H47">
        <v>73350</v>
      </c>
      <c r="I47">
        <v>79600</v>
      </c>
      <c r="J47">
        <v>21.02482050657272</v>
      </c>
    </row>
    <row r="48" spans="1:10" x14ac:dyDescent="0.25">
      <c r="A48" t="s">
        <v>9</v>
      </c>
      <c r="B48" t="s">
        <v>10</v>
      </c>
      <c r="C48">
        <v>1</v>
      </c>
      <c r="D48">
        <v>1</v>
      </c>
      <c r="F48">
        <v>227626.00983200001</v>
      </c>
      <c r="G48">
        <v>72626.009831999996</v>
      </c>
      <c r="H48">
        <v>73800</v>
      </c>
      <c r="I48">
        <v>81200</v>
      </c>
      <c r="J48">
        <v>21.01550631523132</v>
      </c>
    </row>
    <row r="49" spans="1:10" x14ac:dyDescent="0.25">
      <c r="A49" t="s">
        <v>9</v>
      </c>
      <c r="B49" t="s">
        <v>10</v>
      </c>
      <c r="C49">
        <v>1</v>
      </c>
      <c r="D49">
        <v>1</v>
      </c>
      <c r="F49">
        <v>225016.00983200001</v>
      </c>
      <c r="G49">
        <v>72626.009831999996</v>
      </c>
      <c r="H49">
        <v>73390</v>
      </c>
      <c r="I49">
        <v>79000</v>
      </c>
      <c r="J49">
        <v>21.359416075547539</v>
      </c>
    </row>
    <row r="50" spans="1:10" x14ac:dyDescent="0.25">
      <c r="A50" t="s">
        <v>9</v>
      </c>
      <c r="B50" t="s">
        <v>10</v>
      </c>
      <c r="C50">
        <v>1</v>
      </c>
      <c r="D50">
        <v>1</v>
      </c>
      <c r="F50">
        <v>224726.12776</v>
      </c>
      <c r="G50">
        <v>70816.127760000003</v>
      </c>
      <c r="H50">
        <v>74310</v>
      </c>
      <c r="I50">
        <v>79600</v>
      </c>
      <c r="J50">
        <v>21.468154287338258</v>
      </c>
    </row>
    <row r="51" spans="1:10" x14ac:dyDescent="0.25">
      <c r="A51" t="s">
        <v>9</v>
      </c>
      <c r="B51" t="s">
        <v>10</v>
      </c>
      <c r="C51">
        <v>1</v>
      </c>
      <c r="D51">
        <v>1</v>
      </c>
      <c r="F51">
        <v>228546.00983200001</v>
      </c>
      <c r="G51">
        <v>72626.009831999996</v>
      </c>
      <c r="H51">
        <v>73720</v>
      </c>
      <c r="I51">
        <v>82200</v>
      </c>
      <c r="J51">
        <v>21.177568952242531</v>
      </c>
    </row>
    <row r="52" spans="1:10" x14ac:dyDescent="0.25">
      <c r="A52" t="s">
        <v>9</v>
      </c>
      <c r="B52" t="s">
        <v>13</v>
      </c>
      <c r="C52">
        <v>8</v>
      </c>
      <c r="D52">
        <v>1</v>
      </c>
      <c r="E52">
        <v>1</v>
      </c>
      <c r="F52">
        <v>302562.34159999999</v>
      </c>
      <c r="G52">
        <v>147592.34160000001</v>
      </c>
      <c r="H52">
        <v>74770</v>
      </c>
      <c r="I52">
        <v>80200</v>
      </c>
      <c r="J52">
        <v>26.197988179999999</v>
      </c>
    </row>
    <row r="53" spans="1:10" x14ac:dyDescent="0.25">
      <c r="A53" t="s">
        <v>9</v>
      </c>
      <c r="B53" t="s">
        <v>13</v>
      </c>
      <c r="C53">
        <v>8</v>
      </c>
      <c r="D53">
        <v>1</v>
      </c>
      <c r="E53">
        <v>2</v>
      </c>
      <c r="F53">
        <v>300780.22450000001</v>
      </c>
      <c r="G53">
        <v>144770.22450000001</v>
      </c>
      <c r="H53">
        <v>74610</v>
      </c>
      <c r="I53">
        <v>81400</v>
      </c>
      <c r="J53">
        <v>26.528673510000001</v>
      </c>
    </row>
    <row r="54" spans="1:10" x14ac:dyDescent="0.25">
      <c r="A54" t="s">
        <v>9</v>
      </c>
      <c r="B54" t="s">
        <v>13</v>
      </c>
      <c r="C54">
        <v>8</v>
      </c>
      <c r="D54">
        <v>1</v>
      </c>
      <c r="E54">
        <v>3</v>
      </c>
      <c r="F54">
        <v>303497.4975</v>
      </c>
      <c r="G54">
        <v>149887.4975</v>
      </c>
      <c r="H54">
        <v>75010</v>
      </c>
      <c r="I54">
        <v>78600</v>
      </c>
      <c r="J54">
        <v>26.855344160000001</v>
      </c>
    </row>
    <row r="55" spans="1:10" x14ac:dyDescent="0.25">
      <c r="A55" t="s">
        <v>9</v>
      </c>
      <c r="B55" t="s">
        <v>13</v>
      </c>
      <c r="C55">
        <v>8</v>
      </c>
      <c r="D55">
        <v>1</v>
      </c>
      <c r="E55">
        <v>4</v>
      </c>
      <c r="F55">
        <v>301811.62770000001</v>
      </c>
      <c r="G55">
        <v>147691.62770000001</v>
      </c>
      <c r="H55">
        <v>74320</v>
      </c>
      <c r="I55">
        <v>79800</v>
      </c>
      <c r="J55">
        <v>26.54009602</v>
      </c>
    </row>
    <row r="56" spans="1:10" x14ac:dyDescent="0.25">
      <c r="A56" t="s">
        <v>9</v>
      </c>
      <c r="B56" t="s">
        <v>13</v>
      </c>
      <c r="C56">
        <v>8</v>
      </c>
      <c r="D56">
        <v>1</v>
      </c>
      <c r="E56">
        <v>5</v>
      </c>
      <c r="F56">
        <v>304376.0098</v>
      </c>
      <c r="G56">
        <v>147506.0098</v>
      </c>
      <c r="H56">
        <v>75670</v>
      </c>
      <c r="I56">
        <v>81200</v>
      </c>
      <c r="J56">
        <v>26.436583200000001</v>
      </c>
    </row>
    <row r="57" spans="1:10" x14ac:dyDescent="0.25">
      <c r="A57" t="s">
        <v>9</v>
      </c>
      <c r="B57" t="s">
        <v>13</v>
      </c>
      <c r="C57">
        <v>8</v>
      </c>
      <c r="D57">
        <v>1</v>
      </c>
      <c r="E57">
        <v>6</v>
      </c>
      <c r="F57">
        <v>301135.61780000001</v>
      </c>
      <c r="G57">
        <v>144665.61780000001</v>
      </c>
      <c r="H57">
        <v>75470</v>
      </c>
      <c r="I57">
        <v>81000</v>
      </c>
      <c r="J57">
        <v>26.07068164</v>
      </c>
    </row>
    <row r="58" spans="1:10" x14ac:dyDescent="0.25">
      <c r="A58" t="s">
        <v>9</v>
      </c>
      <c r="B58" t="s">
        <v>13</v>
      </c>
      <c r="C58">
        <v>8</v>
      </c>
      <c r="D58">
        <v>1</v>
      </c>
      <c r="E58">
        <v>7</v>
      </c>
      <c r="F58">
        <v>306682.0197</v>
      </c>
      <c r="G58">
        <v>150532.0197</v>
      </c>
      <c r="H58">
        <v>74350</v>
      </c>
      <c r="I58">
        <v>81800</v>
      </c>
      <c r="J58">
        <v>26.766091750000001</v>
      </c>
    </row>
    <row r="59" spans="1:10" x14ac:dyDescent="0.25">
      <c r="A59" t="s">
        <v>9</v>
      </c>
      <c r="B59" t="s">
        <v>13</v>
      </c>
      <c r="C59">
        <v>8</v>
      </c>
      <c r="D59">
        <v>1</v>
      </c>
      <c r="E59">
        <v>8</v>
      </c>
      <c r="F59">
        <v>301350</v>
      </c>
      <c r="G59">
        <v>149760</v>
      </c>
      <c r="H59">
        <v>74790</v>
      </c>
      <c r="I59">
        <v>76800</v>
      </c>
      <c r="J59">
        <v>26.172400490000001</v>
      </c>
    </row>
    <row r="60" spans="1:10" x14ac:dyDescent="0.25">
      <c r="A60" t="s">
        <v>9</v>
      </c>
      <c r="B60" t="s">
        <v>13</v>
      </c>
      <c r="C60">
        <v>8</v>
      </c>
      <c r="D60">
        <v>1</v>
      </c>
      <c r="E60">
        <v>9</v>
      </c>
      <c r="F60">
        <v>305370</v>
      </c>
      <c r="G60">
        <v>149760</v>
      </c>
      <c r="H60">
        <v>75010</v>
      </c>
      <c r="I60">
        <v>80600</v>
      </c>
      <c r="J60">
        <v>26.106366860000001</v>
      </c>
    </row>
    <row r="61" spans="1:10" x14ac:dyDescent="0.25">
      <c r="A61" t="s">
        <v>9</v>
      </c>
      <c r="B61" t="s">
        <v>13</v>
      </c>
      <c r="C61">
        <v>8</v>
      </c>
      <c r="D61">
        <v>1</v>
      </c>
      <c r="E61">
        <v>10</v>
      </c>
      <c r="F61">
        <v>301734.995</v>
      </c>
      <c r="G61">
        <v>147614.995</v>
      </c>
      <c r="H61">
        <v>74920</v>
      </c>
      <c r="I61">
        <v>79200</v>
      </c>
      <c r="J61">
        <v>26.12622215</v>
      </c>
    </row>
    <row r="62" spans="1:10" x14ac:dyDescent="0.25">
      <c r="A62" t="s">
        <v>9</v>
      </c>
      <c r="B62" t="s">
        <v>13</v>
      </c>
      <c r="C62">
        <v>12</v>
      </c>
      <c r="D62">
        <v>1</v>
      </c>
      <c r="E62">
        <v>1</v>
      </c>
      <c r="F62">
        <v>257002.0197</v>
      </c>
      <c r="G62">
        <v>104932.0197</v>
      </c>
      <c r="H62">
        <v>74470</v>
      </c>
      <c r="I62">
        <v>77600</v>
      </c>
      <c r="J62">
        <v>26.350743080000001</v>
      </c>
    </row>
    <row r="63" spans="1:10" x14ac:dyDescent="0.25">
      <c r="A63" t="s">
        <v>9</v>
      </c>
      <c r="B63" t="s">
        <v>13</v>
      </c>
      <c r="C63">
        <v>12</v>
      </c>
      <c r="D63">
        <v>1</v>
      </c>
      <c r="E63">
        <v>2</v>
      </c>
      <c r="F63">
        <v>256017.63750000001</v>
      </c>
      <c r="G63">
        <v>105117.6375</v>
      </c>
      <c r="H63">
        <v>75100</v>
      </c>
      <c r="I63">
        <v>75800</v>
      </c>
      <c r="J63">
        <v>26.76951613</v>
      </c>
    </row>
    <row r="64" spans="1:10" x14ac:dyDescent="0.25">
      <c r="A64" t="s">
        <v>9</v>
      </c>
      <c r="B64" t="s">
        <v>13</v>
      </c>
      <c r="C64">
        <v>12</v>
      </c>
      <c r="D64">
        <v>1</v>
      </c>
      <c r="E64">
        <v>3</v>
      </c>
      <c r="F64">
        <v>255763.5073</v>
      </c>
      <c r="G64">
        <v>104433.5073</v>
      </c>
      <c r="H64">
        <v>75130</v>
      </c>
      <c r="I64">
        <v>76200</v>
      </c>
      <c r="J64">
        <v>26.486752970000001</v>
      </c>
    </row>
    <row r="65" spans="1:10" x14ac:dyDescent="0.25">
      <c r="A65" t="s">
        <v>9</v>
      </c>
      <c r="B65" t="s">
        <v>13</v>
      </c>
      <c r="C65">
        <v>12</v>
      </c>
      <c r="D65">
        <v>1</v>
      </c>
      <c r="E65">
        <v>4</v>
      </c>
      <c r="F65">
        <v>256901.75769999999</v>
      </c>
      <c r="G65">
        <v>104391.7577</v>
      </c>
      <c r="H65">
        <v>74110</v>
      </c>
      <c r="I65">
        <v>78400</v>
      </c>
      <c r="J65">
        <v>26.37682319</v>
      </c>
    </row>
    <row r="66" spans="1:10" x14ac:dyDescent="0.25">
      <c r="A66" t="s">
        <v>9</v>
      </c>
      <c r="B66" t="s">
        <v>13</v>
      </c>
      <c r="C66">
        <v>12</v>
      </c>
      <c r="D66">
        <v>1</v>
      </c>
      <c r="E66">
        <v>5</v>
      </c>
      <c r="F66">
        <v>258200</v>
      </c>
      <c r="G66">
        <v>106560</v>
      </c>
      <c r="H66">
        <v>75240</v>
      </c>
      <c r="I66">
        <v>76400</v>
      </c>
      <c r="J66">
        <v>26.368678339999999</v>
      </c>
    </row>
    <row r="67" spans="1:10" x14ac:dyDescent="0.25">
      <c r="A67" t="s">
        <v>9</v>
      </c>
      <c r="B67" t="s">
        <v>13</v>
      </c>
      <c r="C67">
        <v>12</v>
      </c>
      <c r="D67">
        <v>1</v>
      </c>
      <c r="E67">
        <v>6</v>
      </c>
      <c r="F67">
        <v>254117.63750000001</v>
      </c>
      <c r="G67">
        <v>102237.6375</v>
      </c>
      <c r="H67">
        <v>74080</v>
      </c>
      <c r="I67">
        <v>77800</v>
      </c>
      <c r="J67">
        <v>26.771442650000001</v>
      </c>
    </row>
    <row r="68" spans="1:10" x14ac:dyDescent="0.25">
      <c r="A68" t="s">
        <v>9</v>
      </c>
      <c r="B68" t="s">
        <v>13</v>
      </c>
      <c r="C68">
        <v>12</v>
      </c>
      <c r="D68">
        <v>1</v>
      </c>
      <c r="E68">
        <v>7</v>
      </c>
      <c r="F68">
        <v>260126.0098</v>
      </c>
      <c r="G68">
        <v>107186.0098</v>
      </c>
      <c r="H68">
        <v>73940</v>
      </c>
      <c r="I68">
        <v>79000</v>
      </c>
      <c r="J68">
        <v>27.145262979999998</v>
      </c>
    </row>
    <row r="69" spans="1:10" x14ac:dyDescent="0.25">
      <c r="A69" t="s">
        <v>9</v>
      </c>
      <c r="B69" t="s">
        <v>13</v>
      </c>
      <c r="C69">
        <v>12</v>
      </c>
      <c r="D69">
        <v>1</v>
      </c>
      <c r="E69">
        <v>8</v>
      </c>
      <c r="F69">
        <v>254083.8719</v>
      </c>
      <c r="G69">
        <v>104423.8719</v>
      </c>
      <c r="H69">
        <v>74460</v>
      </c>
      <c r="I69">
        <v>75200</v>
      </c>
      <c r="J69">
        <v>26.732588759999999</v>
      </c>
    </row>
    <row r="70" spans="1:10" x14ac:dyDescent="0.25">
      <c r="A70" t="s">
        <v>9</v>
      </c>
      <c r="B70" t="s">
        <v>13</v>
      </c>
      <c r="C70">
        <v>12</v>
      </c>
      <c r="D70">
        <v>1</v>
      </c>
      <c r="E70">
        <v>9</v>
      </c>
      <c r="F70">
        <v>255198.60380000001</v>
      </c>
      <c r="G70">
        <v>105078.6038</v>
      </c>
      <c r="H70">
        <v>75320</v>
      </c>
      <c r="I70">
        <v>74800</v>
      </c>
      <c r="J70">
        <v>26.545885500000001</v>
      </c>
    </row>
    <row r="71" spans="1:10" x14ac:dyDescent="0.25">
      <c r="A71" t="s">
        <v>9</v>
      </c>
      <c r="B71" t="s">
        <v>13</v>
      </c>
      <c r="C71">
        <v>12</v>
      </c>
      <c r="D71">
        <v>1</v>
      </c>
      <c r="E71">
        <v>10</v>
      </c>
      <c r="F71">
        <v>251386.0098</v>
      </c>
      <c r="G71">
        <v>104786.0098</v>
      </c>
      <c r="H71">
        <v>74800</v>
      </c>
      <c r="I71">
        <v>71800</v>
      </c>
      <c r="J71">
        <v>27.592185700000002</v>
      </c>
    </row>
    <row r="72" spans="1:10" x14ac:dyDescent="0.25">
      <c r="A72" t="s">
        <v>9</v>
      </c>
      <c r="B72" t="s">
        <v>13</v>
      </c>
      <c r="C72">
        <v>16</v>
      </c>
      <c r="D72">
        <v>1</v>
      </c>
      <c r="E72">
        <v>1</v>
      </c>
      <c r="F72">
        <v>230546.0098</v>
      </c>
      <c r="G72">
        <v>81746.009829999995</v>
      </c>
      <c r="H72">
        <v>74400</v>
      </c>
      <c r="I72">
        <v>74400</v>
      </c>
      <c r="J72">
        <v>26.971362030000002</v>
      </c>
    </row>
    <row r="73" spans="1:10" x14ac:dyDescent="0.25">
      <c r="A73" t="s">
        <v>9</v>
      </c>
      <c r="B73" t="s">
        <v>13</v>
      </c>
      <c r="C73">
        <v>16</v>
      </c>
      <c r="D73">
        <v>1</v>
      </c>
      <c r="E73">
        <v>2</v>
      </c>
      <c r="F73">
        <v>229269.5172</v>
      </c>
      <c r="G73">
        <v>82499.517170000006</v>
      </c>
      <c r="H73">
        <v>74570</v>
      </c>
      <c r="I73">
        <v>72200</v>
      </c>
      <c r="J73">
        <v>27.217397770000002</v>
      </c>
    </row>
    <row r="74" spans="1:10" x14ac:dyDescent="0.25">
      <c r="A74" t="s">
        <v>9</v>
      </c>
      <c r="B74" t="s">
        <v>13</v>
      </c>
      <c r="C74">
        <v>16</v>
      </c>
      <c r="D74">
        <v>1</v>
      </c>
      <c r="E74">
        <v>3</v>
      </c>
      <c r="F74">
        <v>230712.0197</v>
      </c>
      <c r="G74">
        <v>81892.019660000005</v>
      </c>
      <c r="H74">
        <v>74420</v>
      </c>
      <c r="I74">
        <v>74400</v>
      </c>
      <c r="J74">
        <v>26.967390200000001</v>
      </c>
    </row>
    <row r="75" spans="1:10" x14ac:dyDescent="0.25">
      <c r="A75" t="s">
        <v>9</v>
      </c>
      <c r="B75" t="s">
        <v>13</v>
      </c>
      <c r="C75">
        <v>16</v>
      </c>
      <c r="D75">
        <v>1</v>
      </c>
      <c r="E75">
        <v>4</v>
      </c>
      <c r="F75">
        <v>228306.0098</v>
      </c>
      <c r="G75">
        <v>81266.009829999995</v>
      </c>
      <c r="H75">
        <v>74440</v>
      </c>
      <c r="I75">
        <v>72600</v>
      </c>
      <c r="J75">
        <v>27.316074759999999</v>
      </c>
    </row>
    <row r="76" spans="1:10" x14ac:dyDescent="0.25">
      <c r="A76" t="s">
        <v>9</v>
      </c>
      <c r="B76" t="s">
        <v>13</v>
      </c>
      <c r="C76">
        <v>16</v>
      </c>
      <c r="D76">
        <v>1</v>
      </c>
      <c r="E76">
        <v>5</v>
      </c>
      <c r="F76">
        <v>228599.69039999999</v>
      </c>
      <c r="G76">
        <v>78959.690400000007</v>
      </c>
      <c r="H76">
        <v>74240</v>
      </c>
      <c r="I76">
        <v>75400</v>
      </c>
      <c r="J76">
        <v>26.847748840000001</v>
      </c>
    </row>
    <row r="77" spans="1:10" x14ac:dyDescent="0.25">
      <c r="A77" t="s">
        <v>9</v>
      </c>
      <c r="B77" t="s">
        <v>13</v>
      </c>
      <c r="C77">
        <v>16</v>
      </c>
      <c r="D77">
        <v>1</v>
      </c>
      <c r="E77">
        <v>6</v>
      </c>
      <c r="F77">
        <v>228769.84099999999</v>
      </c>
      <c r="G77">
        <v>79509.841010000004</v>
      </c>
      <c r="H77">
        <v>74460</v>
      </c>
      <c r="I77">
        <v>74800</v>
      </c>
      <c r="J77">
        <v>26.766250410000001</v>
      </c>
    </row>
    <row r="78" spans="1:10" x14ac:dyDescent="0.25">
      <c r="A78" t="s">
        <v>9</v>
      </c>
      <c r="B78" t="s">
        <v>13</v>
      </c>
      <c r="C78">
        <v>16</v>
      </c>
      <c r="D78">
        <v>1</v>
      </c>
      <c r="E78">
        <v>7</v>
      </c>
      <c r="F78">
        <v>230543.64730000001</v>
      </c>
      <c r="G78">
        <v>81743.647339999996</v>
      </c>
      <c r="H78">
        <v>74400</v>
      </c>
      <c r="I78">
        <v>74400</v>
      </c>
      <c r="J78">
        <v>27.427076459999999</v>
      </c>
    </row>
    <row r="79" spans="1:10" x14ac:dyDescent="0.25">
      <c r="A79" t="s">
        <v>9</v>
      </c>
      <c r="B79" t="s">
        <v>13</v>
      </c>
      <c r="C79">
        <v>16</v>
      </c>
      <c r="D79">
        <v>1</v>
      </c>
      <c r="E79">
        <v>8</v>
      </c>
      <c r="F79">
        <v>228767.63750000001</v>
      </c>
      <c r="G79">
        <v>79197.63751</v>
      </c>
      <c r="H79">
        <v>73770</v>
      </c>
      <c r="I79">
        <v>75800</v>
      </c>
      <c r="J79">
        <v>27.395077189999999</v>
      </c>
    </row>
    <row r="80" spans="1:10" x14ac:dyDescent="0.25">
      <c r="A80" t="s">
        <v>9</v>
      </c>
      <c r="B80" t="s">
        <v>13</v>
      </c>
      <c r="C80">
        <v>16</v>
      </c>
      <c r="D80">
        <v>1</v>
      </c>
      <c r="E80">
        <v>9</v>
      </c>
      <c r="F80">
        <v>228818.60380000001</v>
      </c>
      <c r="G80">
        <v>79638.603789999994</v>
      </c>
      <c r="H80">
        <v>73780</v>
      </c>
      <c r="I80">
        <v>75400</v>
      </c>
      <c r="J80">
        <v>26.908245999999998</v>
      </c>
    </row>
    <row r="81" spans="1:10" x14ac:dyDescent="0.25">
      <c r="A81" t="s">
        <v>9</v>
      </c>
      <c r="B81" t="s">
        <v>13</v>
      </c>
      <c r="C81">
        <v>16</v>
      </c>
      <c r="D81">
        <v>1</v>
      </c>
      <c r="E81">
        <v>10</v>
      </c>
      <c r="F81">
        <v>228040.2187</v>
      </c>
      <c r="G81">
        <v>79630.218720000004</v>
      </c>
      <c r="H81">
        <v>74610</v>
      </c>
      <c r="I81">
        <v>73800</v>
      </c>
      <c r="J81">
        <v>26.938347090000001</v>
      </c>
    </row>
    <row r="82" spans="1:10" x14ac:dyDescent="0.25">
      <c r="A82" t="s">
        <v>9</v>
      </c>
      <c r="B82" t="s">
        <v>13</v>
      </c>
      <c r="C82">
        <v>18</v>
      </c>
      <c r="D82">
        <v>1</v>
      </c>
      <c r="E82">
        <v>1</v>
      </c>
      <c r="F82">
        <v>218742.0197</v>
      </c>
      <c r="G82">
        <v>999999</v>
      </c>
      <c r="H82">
        <v>999999</v>
      </c>
      <c r="I82">
        <v>9999999</v>
      </c>
      <c r="J82">
        <v>26.665037760000001</v>
      </c>
    </row>
    <row r="83" spans="1:10" x14ac:dyDescent="0.25">
      <c r="A83" t="s">
        <v>9</v>
      </c>
      <c r="B83" t="s">
        <v>13</v>
      </c>
      <c r="C83">
        <v>18</v>
      </c>
      <c r="D83">
        <v>1</v>
      </c>
      <c r="E83">
        <v>2</v>
      </c>
      <c r="F83">
        <v>221112.0197</v>
      </c>
      <c r="G83">
        <v>999999</v>
      </c>
      <c r="H83">
        <v>999999</v>
      </c>
      <c r="I83">
        <v>9999999</v>
      </c>
      <c r="J83">
        <v>27.359180899999998</v>
      </c>
    </row>
    <row r="84" spans="1:10" x14ac:dyDescent="0.25">
      <c r="A84" t="s">
        <v>9</v>
      </c>
      <c r="B84" t="s">
        <v>13</v>
      </c>
      <c r="C84">
        <v>18</v>
      </c>
      <c r="D84">
        <v>1</v>
      </c>
      <c r="E84">
        <v>3</v>
      </c>
      <c r="F84">
        <v>223446.0098</v>
      </c>
      <c r="G84">
        <v>999999</v>
      </c>
      <c r="H84">
        <v>999999</v>
      </c>
      <c r="I84">
        <v>9999999</v>
      </c>
      <c r="J84">
        <v>26.933877320000001</v>
      </c>
    </row>
    <row r="85" spans="1:10" x14ac:dyDescent="0.25">
      <c r="A85" t="s">
        <v>9</v>
      </c>
      <c r="B85" t="s">
        <v>13</v>
      </c>
      <c r="C85">
        <v>18</v>
      </c>
      <c r="D85">
        <v>1</v>
      </c>
      <c r="E85">
        <v>4</v>
      </c>
      <c r="F85">
        <v>220088.0295</v>
      </c>
      <c r="G85">
        <v>999999</v>
      </c>
      <c r="H85">
        <v>999999</v>
      </c>
      <c r="I85">
        <v>9999999</v>
      </c>
      <c r="J85">
        <v>26.90331016</v>
      </c>
    </row>
    <row r="86" spans="1:10" x14ac:dyDescent="0.25">
      <c r="A86" t="s">
        <v>9</v>
      </c>
      <c r="B86" t="s">
        <v>13</v>
      </c>
      <c r="C86">
        <v>18</v>
      </c>
      <c r="D86">
        <v>1</v>
      </c>
      <c r="E86">
        <v>5</v>
      </c>
      <c r="F86">
        <v>218946.0098</v>
      </c>
      <c r="G86">
        <v>999999</v>
      </c>
      <c r="H86">
        <v>999999</v>
      </c>
      <c r="I86">
        <v>9999999</v>
      </c>
      <c r="J86">
        <v>26.949176120000001</v>
      </c>
    </row>
    <row r="87" spans="1:10" x14ac:dyDescent="0.25">
      <c r="A87" t="s">
        <v>9</v>
      </c>
      <c r="B87" t="s">
        <v>13</v>
      </c>
      <c r="C87">
        <v>18</v>
      </c>
      <c r="D87">
        <v>1</v>
      </c>
      <c r="E87">
        <v>6</v>
      </c>
      <c r="F87">
        <v>222250.5526</v>
      </c>
      <c r="G87">
        <v>999999</v>
      </c>
      <c r="H87">
        <v>999999</v>
      </c>
      <c r="I87">
        <v>9999999</v>
      </c>
      <c r="J87">
        <v>26.75019619</v>
      </c>
    </row>
    <row r="88" spans="1:10" x14ac:dyDescent="0.25">
      <c r="A88" t="s">
        <v>9</v>
      </c>
      <c r="B88" t="s">
        <v>13</v>
      </c>
      <c r="C88">
        <v>18</v>
      </c>
      <c r="D88">
        <v>1</v>
      </c>
      <c r="E88">
        <v>7</v>
      </c>
      <c r="F88">
        <v>219213.64730000001</v>
      </c>
      <c r="G88">
        <v>999999</v>
      </c>
      <c r="H88">
        <v>999999</v>
      </c>
      <c r="I88">
        <v>9999999</v>
      </c>
      <c r="J88">
        <v>27.446305049999999</v>
      </c>
    </row>
    <row r="89" spans="1:10" x14ac:dyDescent="0.25">
      <c r="A89" t="s">
        <v>9</v>
      </c>
      <c r="B89" t="s">
        <v>13</v>
      </c>
      <c r="C89">
        <v>18</v>
      </c>
      <c r="D89">
        <v>1</v>
      </c>
      <c r="E89">
        <v>8</v>
      </c>
      <c r="F89">
        <v>221613.64730000001</v>
      </c>
      <c r="G89">
        <v>999999</v>
      </c>
      <c r="H89">
        <v>999999</v>
      </c>
      <c r="I89">
        <v>9999999</v>
      </c>
      <c r="J89">
        <v>26.872825859999999</v>
      </c>
    </row>
    <row r="90" spans="1:10" x14ac:dyDescent="0.25">
      <c r="A90" t="s">
        <v>9</v>
      </c>
      <c r="B90" t="s">
        <v>13</v>
      </c>
      <c r="C90">
        <v>18</v>
      </c>
      <c r="D90">
        <v>1</v>
      </c>
      <c r="E90">
        <v>9</v>
      </c>
      <c r="F90">
        <v>220817.63750000001</v>
      </c>
      <c r="G90">
        <v>999999</v>
      </c>
      <c r="H90">
        <v>999999</v>
      </c>
      <c r="I90">
        <v>9999999</v>
      </c>
      <c r="J90">
        <v>27.58816195</v>
      </c>
    </row>
    <row r="91" spans="1:10" x14ac:dyDescent="0.25">
      <c r="A91" t="s">
        <v>9</v>
      </c>
      <c r="B91" t="s">
        <v>13</v>
      </c>
      <c r="C91">
        <v>18</v>
      </c>
      <c r="D91">
        <v>1</v>
      </c>
      <c r="E91">
        <v>10</v>
      </c>
      <c r="F91">
        <v>219222.0197</v>
      </c>
      <c r="G91">
        <v>999999</v>
      </c>
      <c r="H91">
        <v>999999</v>
      </c>
      <c r="I91">
        <v>9999999</v>
      </c>
      <c r="J91">
        <v>27.11607025</v>
      </c>
    </row>
    <row r="92" spans="1:10" x14ac:dyDescent="0.25">
      <c r="A92" t="s">
        <v>9</v>
      </c>
      <c r="B92" t="s">
        <v>13</v>
      </c>
      <c r="C92">
        <v>20</v>
      </c>
      <c r="D92">
        <v>1</v>
      </c>
      <c r="E92">
        <v>1</v>
      </c>
      <c r="F92">
        <v>211507.79860000001</v>
      </c>
      <c r="G92">
        <v>65577.798649999997</v>
      </c>
      <c r="H92">
        <v>74530</v>
      </c>
      <c r="I92">
        <v>71400</v>
      </c>
      <c r="J92">
        <v>26.970710870000001</v>
      </c>
    </row>
    <row r="93" spans="1:10" x14ac:dyDescent="0.25">
      <c r="A93" t="s">
        <v>9</v>
      </c>
      <c r="B93" t="s">
        <v>13</v>
      </c>
      <c r="C93">
        <v>20</v>
      </c>
      <c r="D93">
        <v>1</v>
      </c>
      <c r="E93">
        <v>2</v>
      </c>
      <c r="F93">
        <v>216619.26519999999</v>
      </c>
      <c r="G93">
        <v>67049.265190000006</v>
      </c>
      <c r="H93">
        <v>75370</v>
      </c>
      <c r="I93">
        <v>74200</v>
      </c>
      <c r="J93">
        <v>28.405999349999998</v>
      </c>
    </row>
    <row r="94" spans="1:10" x14ac:dyDescent="0.25">
      <c r="A94" t="s">
        <v>9</v>
      </c>
      <c r="B94" t="s">
        <v>13</v>
      </c>
      <c r="C94">
        <v>20</v>
      </c>
      <c r="D94">
        <v>1</v>
      </c>
      <c r="E94">
        <v>3</v>
      </c>
      <c r="F94">
        <v>217732.0197</v>
      </c>
      <c r="G94">
        <v>67492.019660000005</v>
      </c>
      <c r="H94">
        <v>74640</v>
      </c>
      <c r="I94">
        <v>75600</v>
      </c>
      <c r="J94">
        <v>27.67111611</v>
      </c>
    </row>
    <row r="95" spans="1:10" x14ac:dyDescent="0.25">
      <c r="A95" t="s">
        <v>9</v>
      </c>
      <c r="B95" t="s">
        <v>13</v>
      </c>
      <c r="C95">
        <v>20</v>
      </c>
      <c r="D95">
        <v>1</v>
      </c>
      <c r="E95">
        <v>4</v>
      </c>
      <c r="F95">
        <v>215009.26519999999</v>
      </c>
      <c r="G95">
        <v>65609.265190000006</v>
      </c>
      <c r="H95">
        <v>75400</v>
      </c>
      <c r="I95">
        <v>74000</v>
      </c>
      <c r="J95">
        <v>28.090673120000002</v>
      </c>
    </row>
    <row r="96" spans="1:10" x14ac:dyDescent="0.25">
      <c r="A96" t="s">
        <v>9</v>
      </c>
      <c r="B96" t="s">
        <v>13</v>
      </c>
      <c r="C96">
        <v>20</v>
      </c>
      <c r="D96">
        <v>1</v>
      </c>
      <c r="E96">
        <v>5</v>
      </c>
      <c r="F96">
        <v>212142.0197</v>
      </c>
      <c r="G96">
        <v>67492.019660000005</v>
      </c>
      <c r="H96">
        <v>74850</v>
      </c>
      <c r="I96">
        <v>69800</v>
      </c>
      <c r="J96">
        <v>27.929097410000001</v>
      </c>
    </row>
    <row r="97" spans="1:10" x14ac:dyDescent="0.25">
      <c r="A97" t="s">
        <v>9</v>
      </c>
      <c r="B97" t="s">
        <v>13</v>
      </c>
      <c r="C97">
        <v>20</v>
      </c>
      <c r="D97">
        <v>1</v>
      </c>
      <c r="E97">
        <v>6</v>
      </c>
      <c r="F97">
        <v>208179.26519999999</v>
      </c>
      <c r="G97">
        <v>65609.265190000006</v>
      </c>
      <c r="H97">
        <v>74370</v>
      </c>
      <c r="I97">
        <v>68200</v>
      </c>
      <c r="J97">
        <v>30.055714890000001</v>
      </c>
    </row>
    <row r="98" spans="1:10" x14ac:dyDescent="0.25">
      <c r="A98" t="s">
        <v>9</v>
      </c>
      <c r="B98" t="s">
        <v>13</v>
      </c>
      <c r="C98">
        <v>20</v>
      </c>
      <c r="D98">
        <v>1</v>
      </c>
      <c r="E98">
        <v>7</v>
      </c>
      <c r="F98">
        <v>209242.0197</v>
      </c>
      <c r="G98">
        <v>67492.019660000005</v>
      </c>
      <c r="H98">
        <v>74150</v>
      </c>
      <c r="I98">
        <v>67600</v>
      </c>
      <c r="J98">
        <v>28.989282670000001</v>
      </c>
    </row>
    <row r="99" spans="1:10" x14ac:dyDescent="0.25">
      <c r="A99" t="s">
        <v>9</v>
      </c>
      <c r="B99" t="s">
        <v>13</v>
      </c>
      <c r="C99">
        <v>20</v>
      </c>
      <c r="D99">
        <v>1</v>
      </c>
      <c r="E99">
        <v>8</v>
      </c>
      <c r="F99">
        <v>210376.0098</v>
      </c>
      <c r="G99">
        <v>64466.009830000003</v>
      </c>
      <c r="H99">
        <v>74710</v>
      </c>
      <c r="I99">
        <v>71200</v>
      </c>
      <c r="J99">
        <v>30.641884430000001</v>
      </c>
    </row>
    <row r="100" spans="1:10" x14ac:dyDescent="0.25">
      <c r="A100" t="s">
        <v>9</v>
      </c>
      <c r="B100" t="s">
        <v>13</v>
      </c>
      <c r="C100">
        <v>20</v>
      </c>
      <c r="D100">
        <v>1</v>
      </c>
      <c r="E100">
        <v>9</v>
      </c>
      <c r="F100">
        <v>214354.80650000001</v>
      </c>
      <c r="G100">
        <v>65684.806540000005</v>
      </c>
      <c r="H100">
        <v>74670</v>
      </c>
      <c r="I100">
        <v>74000</v>
      </c>
      <c r="J100">
        <v>28.971393150000001</v>
      </c>
    </row>
    <row r="101" spans="1:10" x14ac:dyDescent="0.25">
      <c r="A101" t="s">
        <v>9</v>
      </c>
      <c r="B101" t="s">
        <v>13</v>
      </c>
      <c r="C101">
        <v>20</v>
      </c>
      <c r="D101">
        <v>1</v>
      </c>
      <c r="E101">
        <v>10</v>
      </c>
      <c r="F101">
        <v>214500</v>
      </c>
      <c r="G101">
        <v>66240</v>
      </c>
      <c r="H101">
        <v>74460</v>
      </c>
      <c r="I101">
        <v>73800</v>
      </c>
      <c r="J101">
        <v>30.888285280000002</v>
      </c>
    </row>
    <row r="102" spans="1:10" x14ac:dyDescent="0.25">
      <c r="A102" t="s">
        <v>9</v>
      </c>
      <c r="B102" t="s">
        <v>13</v>
      </c>
      <c r="C102">
        <v>24</v>
      </c>
      <c r="D102">
        <v>1</v>
      </c>
      <c r="E102">
        <v>1</v>
      </c>
      <c r="F102">
        <v>202019.24460000001</v>
      </c>
      <c r="G102">
        <v>59389.244590000002</v>
      </c>
      <c r="H102">
        <v>74230</v>
      </c>
      <c r="I102">
        <v>68400</v>
      </c>
      <c r="J102">
        <v>31.13650419</v>
      </c>
    </row>
    <row r="103" spans="1:10" x14ac:dyDescent="0.25">
      <c r="A103" t="s">
        <v>9</v>
      </c>
      <c r="B103" t="s">
        <v>13</v>
      </c>
      <c r="C103">
        <v>24</v>
      </c>
      <c r="D103">
        <v>1</v>
      </c>
      <c r="E103">
        <v>2</v>
      </c>
      <c r="F103">
        <v>202891.79070000001</v>
      </c>
      <c r="G103">
        <v>59421.790719999997</v>
      </c>
      <c r="H103">
        <v>74870</v>
      </c>
      <c r="I103">
        <v>68600</v>
      </c>
      <c r="J103">
        <v>29.55793486</v>
      </c>
    </row>
    <row r="104" spans="1:10" x14ac:dyDescent="0.25">
      <c r="A104" t="s">
        <v>9</v>
      </c>
      <c r="B104" t="s">
        <v>13</v>
      </c>
      <c r="C104">
        <v>24</v>
      </c>
      <c r="D104">
        <v>1</v>
      </c>
      <c r="E104">
        <v>3</v>
      </c>
      <c r="F104">
        <v>206574.56359999999</v>
      </c>
      <c r="G104">
        <v>61014.563560000002</v>
      </c>
      <c r="H104">
        <v>75160</v>
      </c>
      <c r="I104">
        <v>70400</v>
      </c>
      <c r="J104">
        <v>30.920798130000001</v>
      </c>
    </row>
    <row r="105" spans="1:10" x14ac:dyDescent="0.25">
      <c r="A105" t="s">
        <v>9</v>
      </c>
      <c r="B105" t="s">
        <v>13</v>
      </c>
      <c r="C105">
        <v>24</v>
      </c>
      <c r="D105">
        <v>1</v>
      </c>
      <c r="E105">
        <v>4</v>
      </c>
      <c r="F105">
        <v>210154.03779999999</v>
      </c>
      <c r="G105">
        <v>62374.037839999997</v>
      </c>
      <c r="H105">
        <v>74980</v>
      </c>
      <c r="I105">
        <v>72800</v>
      </c>
      <c r="J105">
        <v>29.622660539999998</v>
      </c>
    </row>
    <row r="106" spans="1:10" x14ac:dyDescent="0.25">
      <c r="A106" t="s">
        <v>9</v>
      </c>
      <c r="B106" t="s">
        <v>13</v>
      </c>
      <c r="C106">
        <v>24</v>
      </c>
      <c r="D106">
        <v>1</v>
      </c>
      <c r="E106">
        <v>5</v>
      </c>
      <c r="F106">
        <v>203340.50030000001</v>
      </c>
      <c r="G106">
        <v>58960.500350000002</v>
      </c>
      <c r="H106">
        <v>74780</v>
      </c>
      <c r="I106">
        <v>69600</v>
      </c>
      <c r="J106">
        <v>31.318218139999999</v>
      </c>
    </row>
    <row r="107" spans="1:10" x14ac:dyDescent="0.25">
      <c r="A107" t="s">
        <v>9</v>
      </c>
      <c r="B107" t="s">
        <v>13</v>
      </c>
      <c r="C107">
        <v>24</v>
      </c>
      <c r="D107">
        <v>1</v>
      </c>
      <c r="E107">
        <v>6</v>
      </c>
      <c r="F107">
        <v>202937.1654</v>
      </c>
      <c r="G107">
        <v>61387.165399999998</v>
      </c>
      <c r="H107">
        <v>74750</v>
      </c>
      <c r="I107">
        <v>66800</v>
      </c>
      <c r="J107">
        <v>29.815705739999999</v>
      </c>
    </row>
    <row r="108" spans="1:10" x14ac:dyDescent="0.25">
      <c r="A108" t="s">
        <v>9</v>
      </c>
      <c r="B108" t="s">
        <v>13</v>
      </c>
      <c r="C108">
        <v>24</v>
      </c>
      <c r="D108">
        <v>1</v>
      </c>
      <c r="E108">
        <v>7</v>
      </c>
      <c r="F108">
        <v>201717.09820000001</v>
      </c>
      <c r="G108">
        <v>59117.098250000003</v>
      </c>
      <c r="H108">
        <v>74800</v>
      </c>
      <c r="I108">
        <v>67800</v>
      </c>
      <c r="J108">
        <v>32.510545389999997</v>
      </c>
    </row>
    <row r="109" spans="1:10" x14ac:dyDescent="0.25">
      <c r="A109" t="s">
        <v>9</v>
      </c>
      <c r="B109" t="s">
        <v>13</v>
      </c>
      <c r="C109">
        <v>24</v>
      </c>
      <c r="D109">
        <v>1</v>
      </c>
      <c r="E109">
        <v>8</v>
      </c>
      <c r="F109">
        <v>205033.23319999999</v>
      </c>
      <c r="G109">
        <v>58903.233240000001</v>
      </c>
      <c r="H109">
        <v>75330</v>
      </c>
      <c r="I109">
        <v>70800</v>
      </c>
      <c r="J109">
        <v>30.340758600000001</v>
      </c>
    </row>
    <row r="110" spans="1:10" x14ac:dyDescent="0.25">
      <c r="A110" t="s">
        <v>9</v>
      </c>
      <c r="B110" t="s">
        <v>13</v>
      </c>
      <c r="C110">
        <v>24</v>
      </c>
      <c r="D110">
        <v>1</v>
      </c>
      <c r="E110">
        <v>9</v>
      </c>
      <c r="F110">
        <v>204884.16200000001</v>
      </c>
      <c r="G110">
        <v>61744.161999999997</v>
      </c>
      <c r="H110">
        <v>75540</v>
      </c>
      <c r="I110">
        <v>67600</v>
      </c>
      <c r="J110">
        <v>32.701205909999999</v>
      </c>
    </row>
    <row r="111" spans="1:10" x14ac:dyDescent="0.25">
      <c r="A111" t="s">
        <v>9</v>
      </c>
      <c r="B111" t="s">
        <v>13</v>
      </c>
      <c r="C111">
        <v>24</v>
      </c>
      <c r="D111">
        <v>1</v>
      </c>
      <c r="E111">
        <v>10</v>
      </c>
      <c r="F111">
        <v>200785.1145</v>
      </c>
      <c r="G111">
        <v>60255.11447</v>
      </c>
      <c r="H111">
        <v>74530</v>
      </c>
      <c r="I111">
        <v>66000</v>
      </c>
      <c r="J111">
        <v>28.360620610000002</v>
      </c>
    </row>
    <row r="112" spans="1:10" x14ac:dyDescent="0.25">
      <c r="A112" t="s">
        <v>9</v>
      </c>
      <c r="B112" t="s">
        <v>14</v>
      </c>
      <c r="C112">
        <v>0.75</v>
      </c>
      <c r="D112">
        <v>1</v>
      </c>
      <c r="F112">
        <v>218409.03433600001</v>
      </c>
      <c r="G112">
        <v>74039.034335999982</v>
      </c>
      <c r="H112">
        <v>73370</v>
      </c>
      <c r="I112">
        <v>71000</v>
      </c>
      <c r="J112">
        <v>24.824644299348201</v>
      </c>
    </row>
    <row r="113" spans="1:10" x14ac:dyDescent="0.25">
      <c r="A113" t="s">
        <v>9</v>
      </c>
      <c r="B113" t="s">
        <v>14</v>
      </c>
      <c r="C113">
        <v>0.75</v>
      </c>
      <c r="D113">
        <v>1</v>
      </c>
      <c r="F113">
        <v>222154.03932800001</v>
      </c>
      <c r="G113">
        <v>72824.039327999984</v>
      </c>
      <c r="H113">
        <v>72530</v>
      </c>
      <c r="I113">
        <v>76800</v>
      </c>
      <c r="J113">
        <v>24.24518519242605</v>
      </c>
    </row>
    <row r="114" spans="1:10" x14ac:dyDescent="0.25">
      <c r="A114" t="s">
        <v>9</v>
      </c>
      <c r="B114" t="s">
        <v>14</v>
      </c>
      <c r="C114">
        <v>0.75</v>
      </c>
      <c r="D114">
        <v>1</v>
      </c>
      <c r="F114">
        <v>220317.63751199999</v>
      </c>
      <c r="G114">
        <v>73917.637511999987</v>
      </c>
      <c r="H114">
        <v>74400</v>
      </c>
      <c r="I114">
        <v>72000</v>
      </c>
      <c r="J114">
        <v>24.494460507233939</v>
      </c>
    </row>
    <row r="115" spans="1:10" x14ac:dyDescent="0.25">
      <c r="A115" t="s">
        <v>9</v>
      </c>
      <c r="B115" t="s">
        <v>14</v>
      </c>
      <c r="C115">
        <v>0.75</v>
      </c>
      <c r="D115">
        <v>1</v>
      </c>
      <c r="F115">
        <v>218062.01966399999</v>
      </c>
      <c r="G115">
        <v>70372.019663999992</v>
      </c>
      <c r="H115">
        <v>72490</v>
      </c>
      <c r="I115">
        <v>75200</v>
      </c>
      <c r="J115">
        <v>24.060942749182381</v>
      </c>
    </row>
    <row r="116" spans="1:10" x14ac:dyDescent="0.25">
      <c r="A116" t="s">
        <v>9</v>
      </c>
      <c r="B116" t="s">
        <v>14</v>
      </c>
      <c r="C116">
        <v>0.75</v>
      </c>
      <c r="D116">
        <v>1</v>
      </c>
      <c r="F116">
        <v>218928.029496</v>
      </c>
      <c r="G116">
        <v>73878.029495999988</v>
      </c>
      <c r="H116">
        <v>73050</v>
      </c>
      <c r="I116">
        <v>72000</v>
      </c>
      <c r="J116">
        <v>24.355755118529</v>
      </c>
    </row>
    <row r="117" spans="1:10" x14ac:dyDescent="0.25">
      <c r="A117" t="s">
        <v>9</v>
      </c>
      <c r="B117" t="s">
        <v>14</v>
      </c>
      <c r="C117">
        <v>0.75</v>
      </c>
      <c r="D117">
        <v>1</v>
      </c>
      <c r="F117">
        <v>218474.03932800001</v>
      </c>
      <c r="G117">
        <v>72824.039327999984</v>
      </c>
      <c r="H117">
        <v>73050</v>
      </c>
      <c r="I117">
        <v>72600</v>
      </c>
      <c r="J117">
        <v>24.131382079919181</v>
      </c>
    </row>
    <row r="118" spans="1:10" x14ac:dyDescent="0.25">
      <c r="A118" t="s">
        <v>9</v>
      </c>
      <c r="B118" t="s">
        <v>14</v>
      </c>
      <c r="C118">
        <v>0.75</v>
      </c>
      <c r="D118">
        <v>1</v>
      </c>
      <c r="F118">
        <v>219100.04916</v>
      </c>
      <c r="G118">
        <v>73450.049159999966</v>
      </c>
      <c r="H118">
        <v>72650</v>
      </c>
      <c r="I118">
        <v>73000</v>
      </c>
      <c r="J118">
        <v>24.752077643076579</v>
      </c>
    </row>
    <row r="119" spans="1:10" x14ac:dyDescent="0.25">
      <c r="A119" t="s">
        <v>9</v>
      </c>
      <c r="B119" t="s">
        <v>14</v>
      </c>
      <c r="C119">
        <v>0.75</v>
      </c>
      <c r="D119">
        <v>1</v>
      </c>
      <c r="F119">
        <v>220343.647344</v>
      </c>
      <c r="G119">
        <v>74063.647343999997</v>
      </c>
      <c r="H119">
        <v>73280</v>
      </c>
      <c r="I119">
        <v>73000</v>
      </c>
      <c r="J119">
        <v>24.220402900377909</v>
      </c>
    </row>
    <row r="120" spans="1:10" x14ac:dyDescent="0.25">
      <c r="A120" t="s">
        <v>9</v>
      </c>
      <c r="B120" t="s">
        <v>14</v>
      </c>
      <c r="C120">
        <v>0.75</v>
      </c>
      <c r="D120">
        <v>1</v>
      </c>
      <c r="F120">
        <v>216986.00983200001</v>
      </c>
      <c r="G120">
        <v>72626.009831999996</v>
      </c>
      <c r="H120">
        <v>71560</v>
      </c>
      <c r="I120">
        <v>72800</v>
      </c>
      <c r="J120">
        <v>24.543865581353501</v>
      </c>
    </row>
    <row r="121" spans="1:10" x14ac:dyDescent="0.25">
      <c r="A121" t="s">
        <v>9</v>
      </c>
      <c r="B121" t="s">
        <v>14</v>
      </c>
      <c r="C121">
        <v>0.75</v>
      </c>
      <c r="D121">
        <v>1</v>
      </c>
      <c r="F121">
        <v>218449.65717600001</v>
      </c>
      <c r="G121">
        <v>73009.657175999979</v>
      </c>
      <c r="H121">
        <v>73440</v>
      </c>
      <c r="I121">
        <v>72000</v>
      </c>
      <c r="J121">
        <v>24.743004508813222</v>
      </c>
    </row>
    <row r="122" spans="1:10" x14ac:dyDescent="0.25">
      <c r="A122" t="s">
        <v>9</v>
      </c>
      <c r="B122" t="s">
        <v>14</v>
      </c>
      <c r="C122">
        <v>1</v>
      </c>
      <c r="D122">
        <v>1</v>
      </c>
      <c r="F122">
        <v>217091.62768000001</v>
      </c>
      <c r="G122">
        <v>73291.627679999991</v>
      </c>
      <c r="H122">
        <v>73400</v>
      </c>
      <c r="I122">
        <v>70400</v>
      </c>
      <c r="J122">
        <v>24.61866637070974</v>
      </c>
    </row>
    <row r="123" spans="1:10" x14ac:dyDescent="0.25">
      <c r="A123" t="s">
        <v>9</v>
      </c>
      <c r="B123" t="s">
        <v>14</v>
      </c>
      <c r="C123">
        <v>1</v>
      </c>
      <c r="D123">
        <v>1</v>
      </c>
      <c r="F123">
        <v>218662.01966399999</v>
      </c>
      <c r="G123">
        <v>73252.019663999992</v>
      </c>
      <c r="H123">
        <v>71810</v>
      </c>
      <c r="I123">
        <v>73600</v>
      </c>
      <c r="J123">
        <v>24.288704395294189</v>
      </c>
    </row>
    <row r="124" spans="1:10" x14ac:dyDescent="0.25">
      <c r="A124" t="s">
        <v>9</v>
      </c>
      <c r="B124" t="s">
        <v>14</v>
      </c>
      <c r="C124">
        <v>1</v>
      </c>
      <c r="D124">
        <v>1</v>
      </c>
      <c r="F124">
        <v>219040.95468</v>
      </c>
      <c r="G124">
        <v>72790.954679999995</v>
      </c>
      <c r="H124">
        <v>74050</v>
      </c>
      <c r="I124">
        <v>72200</v>
      </c>
      <c r="J124">
        <v>24.416837739944459</v>
      </c>
    </row>
    <row r="125" spans="1:10" x14ac:dyDescent="0.25">
      <c r="A125" t="s">
        <v>9</v>
      </c>
      <c r="B125" t="s">
        <v>14</v>
      </c>
      <c r="C125">
        <v>1</v>
      </c>
      <c r="D125">
        <v>1</v>
      </c>
      <c r="F125">
        <v>216313.84179999999</v>
      </c>
      <c r="G125">
        <v>73143.841799999995</v>
      </c>
      <c r="H125">
        <v>73970</v>
      </c>
      <c r="I125">
        <v>69200</v>
      </c>
      <c r="J125">
        <v>24.372405354181929</v>
      </c>
    </row>
    <row r="126" spans="1:10" x14ac:dyDescent="0.25">
      <c r="A126" t="s">
        <v>9</v>
      </c>
      <c r="B126" t="s">
        <v>14</v>
      </c>
      <c r="C126">
        <v>1</v>
      </c>
      <c r="D126">
        <v>1</v>
      </c>
      <c r="F126">
        <v>222798.029496</v>
      </c>
      <c r="G126">
        <v>73878.029495999988</v>
      </c>
      <c r="H126">
        <v>72120</v>
      </c>
      <c r="I126">
        <v>76800</v>
      </c>
      <c r="J126">
        <v>24.69947753747304</v>
      </c>
    </row>
    <row r="127" spans="1:10" x14ac:dyDescent="0.25">
      <c r="A127" t="s">
        <v>9</v>
      </c>
      <c r="B127" t="s">
        <v>14</v>
      </c>
      <c r="C127">
        <v>1</v>
      </c>
      <c r="D127">
        <v>1</v>
      </c>
      <c r="F127">
        <v>217045.90274399999</v>
      </c>
      <c r="G127">
        <v>73345.902743999992</v>
      </c>
      <c r="H127">
        <v>71700</v>
      </c>
      <c r="I127">
        <v>72000</v>
      </c>
      <c r="J127">
        <v>24.33275002241135</v>
      </c>
    </row>
    <row r="128" spans="1:10" x14ac:dyDescent="0.25">
      <c r="A128" t="s">
        <v>9</v>
      </c>
      <c r="B128" t="s">
        <v>14</v>
      </c>
      <c r="C128">
        <v>1</v>
      </c>
      <c r="D128">
        <v>1</v>
      </c>
      <c r="F128">
        <v>217600</v>
      </c>
      <c r="G128">
        <v>72000</v>
      </c>
      <c r="H128">
        <v>72800</v>
      </c>
      <c r="I128">
        <v>72800</v>
      </c>
      <c r="J128">
        <v>24.13077120383581</v>
      </c>
    </row>
    <row r="129" spans="1:10" x14ac:dyDescent="0.25">
      <c r="A129" t="s">
        <v>9</v>
      </c>
      <c r="B129" t="s">
        <v>14</v>
      </c>
      <c r="C129">
        <v>1</v>
      </c>
      <c r="D129">
        <v>1</v>
      </c>
      <c r="F129">
        <v>216466.00983200001</v>
      </c>
      <c r="G129">
        <v>72626.009831999996</v>
      </c>
      <c r="H129">
        <v>73040</v>
      </c>
      <c r="I129">
        <v>70800</v>
      </c>
      <c r="J129">
        <v>24.390639702479049</v>
      </c>
    </row>
    <row r="130" spans="1:10" x14ac:dyDescent="0.25">
      <c r="A130" t="s">
        <v>9</v>
      </c>
      <c r="B130" t="s">
        <v>14</v>
      </c>
      <c r="C130">
        <v>1</v>
      </c>
      <c r="D130">
        <v>1</v>
      </c>
      <c r="F130">
        <v>213816.00983200001</v>
      </c>
      <c r="G130">
        <v>72626.009831999996</v>
      </c>
      <c r="H130">
        <v>73190</v>
      </c>
      <c r="I130">
        <v>68000</v>
      </c>
      <c r="J130">
        <v>24.274370777606961</v>
      </c>
    </row>
    <row r="131" spans="1:10" x14ac:dyDescent="0.25">
      <c r="A131" t="s">
        <v>9</v>
      </c>
      <c r="B131" t="s">
        <v>14</v>
      </c>
      <c r="C131">
        <v>1</v>
      </c>
      <c r="D131">
        <v>1</v>
      </c>
      <c r="F131">
        <v>218682.83538400001</v>
      </c>
      <c r="G131">
        <v>73232.835383999976</v>
      </c>
      <c r="H131">
        <v>73050</v>
      </c>
      <c r="I131">
        <v>72400</v>
      </c>
      <c r="J131">
        <v>24.331544367472329</v>
      </c>
    </row>
    <row r="132" spans="1:10" x14ac:dyDescent="0.25">
      <c r="A132" t="s">
        <v>9</v>
      </c>
      <c r="B132" t="s">
        <v>14</v>
      </c>
      <c r="C132">
        <v>1.25</v>
      </c>
      <c r="D132">
        <v>1</v>
      </c>
      <c r="F132">
        <v>234586.0098</v>
      </c>
      <c r="G132">
        <v>75506.009829999995</v>
      </c>
      <c r="H132">
        <v>88480</v>
      </c>
      <c r="I132">
        <v>70600</v>
      </c>
      <c r="J132">
        <v>29.952593839999999</v>
      </c>
    </row>
    <row r="133" spans="1:10" x14ac:dyDescent="0.25">
      <c r="A133" t="s">
        <v>9</v>
      </c>
      <c r="B133" t="s">
        <v>14</v>
      </c>
      <c r="C133">
        <v>1.25</v>
      </c>
      <c r="D133">
        <v>1</v>
      </c>
      <c r="F133">
        <v>234808.0295</v>
      </c>
      <c r="G133">
        <v>76758.029500000004</v>
      </c>
      <c r="H133">
        <v>88450</v>
      </c>
      <c r="I133">
        <v>69600</v>
      </c>
      <c r="J133">
        <v>30.528109959999998</v>
      </c>
    </row>
    <row r="134" spans="1:10" x14ac:dyDescent="0.25">
      <c r="A134" t="s">
        <v>9</v>
      </c>
      <c r="B134" t="s">
        <v>14</v>
      </c>
      <c r="C134">
        <v>1.25</v>
      </c>
      <c r="D134">
        <v>1</v>
      </c>
      <c r="F134">
        <v>235142.0197</v>
      </c>
      <c r="G134">
        <v>73252.019660000005</v>
      </c>
      <c r="H134">
        <v>89290</v>
      </c>
      <c r="I134">
        <v>72600</v>
      </c>
      <c r="J134">
        <v>29.851581920000001</v>
      </c>
    </row>
    <row r="135" spans="1:10" x14ac:dyDescent="0.25">
      <c r="A135" t="s">
        <v>9</v>
      </c>
      <c r="B135" t="s">
        <v>14</v>
      </c>
      <c r="C135">
        <v>1.25</v>
      </c>
      <c r="D135">
        <v>1</v>
      </c>
      <c r="F135">
        <v>232407.34030000001</v>
      </c>
      <c r="G135">
        <v>72367.340330000006</v>
      </c>
      <c r="H135">
        <v>89640</v>
      </c>
      <c r="I135">
        <v>70400</v>
      </c>
      <c r="J135">
        <v>29.773945260000001</v>
      </c>
    </row>
    <row r="136" spans="1:10" x14ac:dyDescent="0.25">
      <c r="A136" t="s">
        <v>9</v>
      </c>
      <c r="B136" t="s">
        <v>14</v>
      </c>
      <c r="C136">
        <v>1.25</v>
      </c>
      <c r="D136">
        <v>1</v>
      </c>
      <c r="F136">
        <v>229027.63750000001</v>
      </c>
      <c r="G136">
        <v>73917.63751</v>
      </c>
      <c r="H136">
        <v>87310</v>
      </c>
      <c r="I136">
        <v>67800</v>
      </c>
      <c r="J136">
        <v>29.99459031</v>
      </c>
    </row>
    <row r="137" spans="1:10" x14ac:dyDescent="0.25">
      <c r="A137" t="s">
        <v>9</v>
      </c>
      <c r="B137" t="s">
        <v>14</v>
      </c>
      <c r="C137">
        <v>1.25</v>
      </c>
      <c r="D137">
        <v>1</v>
      </c>
      <c r="F137">
        <v>234178.20989999999</v>
      </c>
      <c r="G137">
        <v>73938.209860000003</v>
      </c>
      <c r="H137">
        <v>89040</v>
      </c>
      <c r="I137">
        <v>71200</v>
      </c>
      <c r="J137">
        <v>29.772203130000001</v>
      </c>
    </row>
    <row r="138" spans="1:10" x14ac:dyDescent="0.25">
      <c r="A138" t="s">
        <v>9</v>
      </c>
      <c r="B138" t="s">
        <v>14</v>
      </c>
      <c r="C138">
        <v>1.25</v>
      </c>
      <c r="D138">
        <v>1</v>
      </c>
      <c r="F138">
        <v>233062.45869999999</v>
      </c>
      <c r="G138">
        <v>71062.458740000002</v>
      </c>
      <c r="H138">
        <v>89200</v>
      </c>
      <c r="I138">
        <v>72800</v>
      </c>
      <c r="J138">
        <v>30.06992881</v>
      </c>
    </row>
    <row r="139" spans="1:10" x14ac:dyDescent="0.25">
      <c r="A139" t="s">
        <v>9</v>
      </c>
      <c r="B139" t="s">
        <v>14</v>
      </c>
      <c r="C139">
        <v>1.25</v>
      </c>
      <c r="D139">
        <v>1</v>
      </c>
      <c r="F139">
        <v>233970</v>
      </c>
      <c r="G139">
        <v>74880</v>
      </c>
      <c r="H139">
        <v>89090</v>
      </c>
      <c r="I139">
        <v>70000</v>
      </c>
      <c r="J139">
        <v>30.142931449999999</v>
      </c>
    </row>
    <row r="140" spans="1:10" x14ac:dyDescent="0.25">
      <c r="A140" t="s">
        <v>9</v>
      </c>
      <c r="B140" t="s">
        <v>14</v>
      </c>
      <c r="C140">
        <v>1.25</v>
      </c>
      <c r="D140">
        <v>1</v>
      </c>
      <c r="F140">
        <v>237937.49119999999</v>
      </c>
      <c r="G140">
        <v>73717.491190000001</v>
      </c>
      <c r="H140">
        <v>88420</v>
      </c>
      <c r="I140">
        <v>75800</v>
      </c>
      <c r="J140">
        <v>30.148057680000001</v>
      </c>
    </row>
    <row r="141" spans="1:10" x14ac:dyDescent="0.25">
      <c r="A141" t="s">
        <v>9</v>
      </c>
      <c r="B141" t="s">
        <v>14</v>
      </c>
      <c r="C141">
        <v>1.25</v>
      </c>
      <c r="D141">
        <v>1</v>
      </c>
      <c r="F141">
        <v>231894.41140000001</v>
      </c>
      <c r="G141">
        <v>76124.411399999997</v>
      </c>
      <c r="H141">
        <v>88770</v>
      </c>
      <c r="I141">
        <v>67000</v>
      </c>
      <c r="J141">
        <v>30.226335550000002</v>
      </c>
    </row>
    <row r="142" spans="1:10" x14ac:dyDescent="0.25">
      <c r="A142" t="s">
        <v>9</v>
      </c>
      <c r="B142" t="s">
        <v>14</v>
      </c>
      <c r="C142">
        <v>1.5</v>
      </c>
      <c r="D142">
        <v>1</v>
      </c>
      <c r="F142">
        <v>237313.5073</v>
      </c>
      <c r="G142">
        <v>73233.507339999996</v>
      </c>
      <c r="H142">
        <v>92280</v>
      </c>
      <c r="I142">
        <v>71800</v>
      </c>
      <c r="J142">
        <v>33.572595210000003</v>
      </c>
    </row>
    <row r="143" spans="1:10" x14ac:dyDescent="0.25">
      <c r="A143" t="s">
        <v>9</v>
      </c>
      <c r="B143" t="s">
        <v>14</v>
      </c>
      <c r="C143">
        <v>1.5</v>
      </c>
      <c r="D143">
        <v>1</v>
      </c>
      <c r="F143">
        <v>236699.5172</v>
      </c>
      <c r="G143">
        <v>70979.517170000006</v>
      </c>
      <c r="H143">
        <v>92120</v>
      </c>
      <c r="I143">
        <v>73600</v>
      </c>
      <c r="J143">
        <v>33.657037029999998</v>
      </c>
    </row>
    <row r="144" spans="1:10" x14ac:dyDescent="0.25">
      <c r="A144" t="s">
        <v>9</v>
      </c>
      <c r="B144" t="s">
        <v>14</v>
      </c>
      <c r="C144">
        <v>1.5</v>
      </c>
      <c r="D144">
        <v>1</v>
      </c>
      <c r="F144">
        <v>236553.25539999999</v>
      </c>
      <c r="G144">
        <v>76503.255359999996</v>
      </c>
      <c r="H144">
        <v>91450</v>
      </c>
      <c r="I144">
        <v>68600</v>
      </c>
      <c r="J144">
        <v>33.252040710000003</v>
      </c>
    </row>
    <row r="145" spans="1:10" x14ac:dyDescent="0.25">
      <c r="A145" t="s">
        <v>9</v>
      </c>
      <c r="B145" t="s">
        <v>14</v>
      </c>
      <c r="C145">
        <v>1.5</v>
      </c>
      <c r="D145">
        <v>1</v>
      </c>
      <c r="F145">
        <v>237467.63750000001</v>
      </c>
      <c r="G145">
        <v>73437.63751</v>
      </c>
      <c r="H145">
        <v>92030</v>
      </c>
      <c r="I145">
        <v>72000</v>
      </c>
      <c r="J145">
        <v>33.727523470000001</v>
      </c>
    </row>
    <row r="146" spans="1:10" x14ac:dyDescent="0.25">
      <c r="A146" t="s">
        <v>9</v>
      </c>
      <c r="B146" t="s">
        <v>14</v>
      </c>
      <c r="C146">
        <v>1.5</v>
      </c>
      <c r="D146">
        <v>1</v>
      </c>
      <c r="F146">
        <v>230559.9222</v>
      </c>
      <c r="G146">
        <v>73029.922219999993</v>
      </c>
      <c r="H146">
        <v>90930</v>
      </c>
      <c r="I146">
        <v>66600</v>
      </c>
      <c r="J146">
        <v>33.330113670000003</v>
      </c>
    </row>
    <row r="147" spans="1:10" x14ac:dyDescent="0.25">
      <c r="A147" t="s">
        <v>9</v>
      </c>
      <c r="B147" t="s">
        <v>14</v>
      </c>
      <c r="C147">
        <v>1.5</v>
      </c>
      <c r="D147">
        <v>1</v>
      </c>
      <c r="F147">
        <v>235936.51199999999</v>
      </c>
      <c r="G147">
        <v>73636.512000000002</v>
      </c>
      <c r="H147">
        <v>90900</v>
      </c>
      <c r="I147">
        <v>71400</v>
      </c>
      <c r="J147">
        <v>33.289918780000001</v>
      </c>
    </row>
    <row r="148" spans="1:10" x14ac:dyDescent="0.25">
      <c r="A148" t="s">
        <v>9</v>
      </c>
      <c r="B148" t="s">
        <v>14</v>
      </c>
      <c r="C148">
        <v>1.5</v>
      </c>
      <c r="D148">
        <v>1</v>
      </c>
      <c r="F148">
        <v>238223.64730000001</v>
      </c>
      <c r="G148">
        <v>74063.647339999996</v>
      </c>
      <c r="H148">
        <v>92360</v>
      </c>
      <c r="I148">
        <v>71800</v>
      </c>
      <c r="J148">
        <v>33.586459310000002</v>
      </c>
    </row>
    <row r="149" spans="1:10" x14ac:dyDescent="0.25">
      <c r="A149" t="s">
        <v>9</v>
      </c>
      <c r="B149" t="s">
        <v>14</v>
      </c>
      <c r="C149">
        <v>1.5</v>
      </c>
      <c r="D149">
        <v>1</v>
      </c>
      <c r="F149">
        <v>236247.42689999999</v>
      </c>
      <c r="G149">
        <v>72707.426860000007</v>
      </c>
      <c r="H149">
        <v>91740</v>
      </c>
      <c r="I149">
        <v>71800</v>
      </c>
      <c r="J149">
        <v>33.486346959999999</v>
      </c>
    </row>
    <row r="150" spans="1:10" x14ac:dyDescent="0.25">
      <c r="A150" t="s">
        <v>9</v>
      </c>
      <c r="B150" t="s">
        <v>14</v>
      </c>
      <c r="C150">
        <v>1.5</v>
      </c>
      <c r="D150">
        <v>1</v>
      </c>
      <c r="F150">
        <v>237141.32990000001</v>
      </c>
      <c r="G150">
        <v>75381.329930000007</v>
      </c>
      <c r="H150">
        <v>91160</v>
      </c>
      <c r="I150">
        <v>70600</v>
      </c>
      <c r="J150">
        <v>34.256424879999997</v>
      </c>
    </row>
    <row r="151" spans="1:10" x14ac:dyDescent="0.25">
      <c r="A151" t="s">
        <v>9</v>
      </c>
      <c r="B151" t="s">
        <v>14</v>
      </c>
      <c r="C151">
        <v>1.5</v>
      </c>
      <c r="D151">
        <v>1</v>
      </c>
      <c r="F151">
        <v>239608.64379999999</v>
      </c>
      <c r="G151">
        <v>75248.643790000002</v>
      </c>
      <c r="H151">
        <v>91560</v>
      </c>
      <c r="I151">
        <v>72800</v>
      </c>
      <c r="J151">
        <v>34.509011620000003</v>
      </c>
    </row>
    <row r="152" spans="1:10" x14ac:dyDescent="0.25">
      <c r="A152" t="s">
        <v>9</v>
      </c>
      <c r="B152" t="s">
        <v>14</v>
      </c>
      <c r="C152">
        <v>1.75</v>
      </c>
      <c r="D152">
        <v>1</v>
      </c>
      <c r="F152">
        <v>239687.74919999999</v>
      </c>
      <c r="G152">
        <v>76367.749179999999</v>
      </c>
      <c r="H152">
        <v>94120</v>
      </c>
      <c r="I152">
        <v>69200</v>
      </c>
      <c r="J152">
        <v>38.649779860000002</v>
      </c>
    </row>
    <row r="153" spans="1:10" x14ac:dyDescent="0.25">
      <c r="A153" t="s">
        <v>9</v>
      </c>
      <c r="B153" t="s">
        <v>14</v>
      </c>
      <c r="C153">
        <v>1.75</v>
      </c>
      <c r="D153">
        <v>1</v>
      </c>
      <c r="F153">
        <v>240082.29130000001</v>
      </c>
      <c r="G153">
        <v>74112.291259999998</v>
      </c>
      <c r="H153">
        <v>94170</v>
      </c>
      <c r="I153">
        <v>71800</v>
      </c>
      <c r="J153">
        <v>38.458964629999997</v>
      </c>
    </row>
    <row r="154" spans="1:10" x14ac:dyDescent="0.25">
      <c r="A154" t="s">
        <v>9</v>
      </c>
      <c r="B154" t="s">
        <v>14</v>
      </c>
      <c r="C154">
        <v>1.75</v>
      </c>
      <c r="D154">
        <v>1</v>
      </c>
      <c r="F154">
        <v>243724.41140000001</v>
      </c>
      <c r="G154">
        <v>75644.411399999997</v>
      </c>
      <c r="H154">
        <v>94080</v>
      </c>
      <c r="I154">
        <v>74000</v>
      </c>
      <c r="J154">
        <v>38.622584439999997</v>
      </c>
    </row>
    <row r="155" spans="1:10" x14ac:dyDescent="0.25">
      <c r="A155" t="s">
        <v>9</v>
      </c>
      <c r="B155" t="s">
        <v>14</v>
      </c>
      <c r="C155">
        <v>1.75</v>
      </c>
      <c r="D155">
        <v>1</v>
      </c>
      <c r="F155">
        <v>236170.42170000001</v>
      </c>
      <c r="G155">
        <v>74090.421740000005</v>
      </c>
      <c r="H155">
        <v>94080</v>
      </c>
      <c r="I155">
        <v>68000</v>
      </c>
      <c r="J155">
        <v>38.025088050000001</v>
      </c>
    </row>
    <row r="156" spans="1:10" x14ac:dyDescent="0.25">
      <c r="A156" t="s">
        <v>9</v>
      </c>
      <c r="B156" t="s">
        <v>14</v>
      </c>
      <c r="C156">
        <v>1.75</v>
      </c>
      <c r="D156">
        <v>1</v>
      </c>
      <c r="F156">
        <v>238595.45699999999</v>
      </c>
      <c r="G156">
        <v>73985.456999999995</v>
      </c>
      <c r="H156">
        <v>94010</v>
      </c>
      <c r="I156">
        <v>70600</v>
      </c>
      <c r="J156">
        <v>38.2806712</v>
      </c>
    </row>
    <row r="157" spans="1:10" x14ac:dyDescent="0.25">
      <c r="A157" t="s">
        <v>9</v>
      </c>
      <c r="B157" t="s">
        <v>14</v>
      </c>
      <c r="C157">
        <v>1.75</v>
      </c>
      <c r="D157">
        <v>1</v>
      </c>
      <c r="F157">
        <v>240577.5012</v>
      </c>
      <c r="G157">
        <v>76087.501180000007</v>
      </c>
      <c r="H157">
        <v>93690</v>
      </c>
      <c r="I157">
        <v>70800</v>
      </c>
      <c r="J157">
        <v>39.223661739999997</v>
      </c>
    </row>
    <row r="158" spans="1:10" x14ac:dyDescent="0.25">
      <c r="A158" t="s">
        <v>9</v>
      </c>
      <c r="B158" t="s">
        <v>14</v>
      </c>
      <c r="C158">
        <v>1.75</v>
      </c>
      <c r="D158">
        <v>1</v>
      </c>
      <c r="F158">
        <v>236644.08530000001</v>
      </c>
      <c r="G158">
        <v>75754.085300000006</v>
      </c>
      <c r="H158">
        <v>94290</v>
      </c>
      <c r="I158">
        <v>66600</v>
      </c>
      <c r="J158">
        <v>39.044782490000003</v>
      </c>
    </row>
    <row r="159" spans="1:10" x14ac:dyDescent="0.25">
      <c r="A159" t="s">
        <v>9</v>
      </c>
      <c r="B159" t="s">
        <v>14</v>
      </c>
      <c r="C159">
        <v>1.75</v>
      </c>
      <c r="D159">
        <v>1</v>
      </c>
      <c r="F159">
        <v>240890.23149999999</v>
      </c>
      <c r="G159">
        <v>75410.231469999999</v>
      </c>
      <c r="H159">
        <v>93680</v>
      </c>
      <c r="I159">
        <v>71800</v>
      </c>
      <c r="J159">
        <v>38.535570409999998</v>
      </c>
    </row>
    <row r="160" spans="1:10" x14ac:dyDescent="0.25">
      <c r="A160" t="s">
        <v>9</v>
      </c>
      <c r="B160" t="s">
        <v>14</v>
      </c>
      <c r="C160">
        <v>1.75</v>
      </c>
      <c r="D160">
        <v>1</v>
      </c>
      <c r="F160">
        <v>242377.63750000001</v>
      </c>
      <c r="G160">
        <v>76317.63751</v>
      </c>
      <c r="H160">
        <v>93860</v>
      </c>
      <c r="I160">
        <v>72200</v>
      </c>
      <c r="J160">
        <v>38.790213860000001</v>
      </c>
    </row>
    <row r="161" spans="1:10" x14ac:dyDescent="0.25">
      <c r="A161" t="s">
        <v>9</v>
      </c>
      <c r="B161" t="s">
        <v>14</v>
      </c>
      <c r="C161">
        <v>1.75</v>
      </c>
      <c r="D161">
        <v>1</v>
      </c>
      <c r="F161">
        <v>236578.0295</v>
      </c>
      <c r="G161">
        <v>73878.029500000004</v>
      </c>
      <c r="H161">
        <v>94300</v>
      </c>
      <c r="I161">
        <v>68400</v>
      </c>
      <c r="J161">
        <v>38.922542630000002</v>
      </c>
    </row>
    <row r="162" spans="1:10" x14ac:dyDescent="0.25">
      <c r="A162" t="s">
        <v>9</v>
      </c>
      <c r="B162" t="s">
        <v>14</v>
      </c>
      <c r="C162">
        <v>2</v>
      </c>
      <c r="D162">
        <v>1</v>
      </c>
      <c r="F162">
        <v>241199.99369999999</v>
      </c>
      <c r="G162">
        <v>73589.993690000003</v>
      </c>
      <c r="H162">
        <v>95810</v>
      </c>
      <c r="I162">
        <v>71800</v>
      </c>
      <c r="J162">
        <v>42.213161130000003</v>
      </c>
    </row>
    <row r="163" spans="1:10" x14ac:dyDescent="0.25">
      <c r="A163" t="s">
        <v>9</v>
      </c>
      <c r="B163" t="s">
        <v>14</v>
      </c>
      <c r="C163">
        <v>2</v>
      </c>
      <c r="D163">
        <v>1</v>
      </c>
      <c r="F163">
        <v>238320.8088</v>
      </c>
      <c r="G163">
        <v>75930.808749999997</v>
      </c>
      <c r="H163">
        <v>95190</v>
      </c>
      <c r="I163">
        <v>67200</v>
      </c>
      <c r="J163">
        <v>42.915956559999998</v>
      </c>
    </row>
    <row r="164" spans="1:10" x14ac:dyDescent="0.25">
      <c r="A164" t="s">
        <v>9</v>
      </c>
      <c r="B164" t="s">
        <v>14</v>
      </c>
      <c r="C164">
        <v>2</v>
      </c>
      <c r="D164">
        <v>1</v>
      </c>
      <c r="F164">
        <v>241010</v>
      </c>
      <c r="G164">
        <v>74880</v>
      </c>
      <c r="H164">
        <v>94930</v>
      </c>
      <c r="I164">
        <v>71200</v>
      </c>
      <c r="J164">
        <v>41.961328129999998</v>
      </c>
    </row>
    <row r="165" spans="1:10" x14ac:dyDescent="0.25">
      <c r="A165" t="s">
        <v>9</v>
      </c>
      <c r="B165" t="s">
        <v>14</v>
      </c>
      <c r="C165">
        <v>2</v>
      </c>
      <c r="D165">
        <v>1</v>
      </c>
      <c r="F165">
        <v>240807.33420000001</v>
      </c>
      <c r="G165">
        <v>74077.334180000005</v>
      </c>
      <c r="H165">
        <v>94530</v>
      </c>
      <c r="I165">
        <v>72200</v>
      </c>
      <c r="J165">
        <v>42.116934219999997</v>
      </c>
    </row>
    <row r="166" spans="1:10" x14ac:dyDescent="0.25">
      <c r="A166" t="s">
        <v>9</v>
      </c>
      <c r="B166" t="s">
        <v>14</v>
      </c>
      <c r="C166">
        <v>2</v>
      </c>
      <c r="D166">
        <v>1</v>
      </c>
      <c r="F166">
        <v>239418.5588</v>
      </c>
      <c r="G166">
        <v>75968.558780000007</v>
      </c>
      <c r="H166">
        <v>95850</v>
      </c>
      <c r="I166">
        <v>67600</v>
      </c>
      <c r="J166">
        <v>42.672678089999998</v>
      </c>
    </row>
    <row r="167" spans="1:10" x14ac:dyDescent="0.25">
      <c r="A167" t="s">
        <v>9</v>
      </c>
      <c r="B167" t="s">
        <v>14</v>
      </c>
      <c r="C167">
        <v>2</v>
      </c>
      <c r="D167">
        <v>1</v>
      </c>
      <c r="F167">
        <v>243686.5318</v>
      </c>
      <c r="G167">
        <v>76086.531839999996</v>
      </c>
      <c r="H167">
        <v>96000</v>
      </c>
      <c r="I167">
        <v>71600</v>
      </c>
      <c r="J167">
        <v>42.721671890000003</v>
      </c>
    </row>
    <row r="168" spans="1:10" x14ac:dyDescent="0.25">
      <c r="A168" t="s">
        <v>9</v>
      </c>
      <c r="B168" t="s">
        <v>14</v>
      </c>
      <c r="C168">
        <v>2</v>
      </c>
      <c r="D168">
        <v>1</v>
      </c>
      <c r="F168">
        <v>241813.0698</v>
      </c>
      <c r="G168">
        <v>76403.069829999993</v>
      </c>
      <c r="H168">
        <v>95010</v>
      </c>
      <c r="I168">
        <v>70400</v>
      </c>
      <c r="J168">
        <v>41.986754329999997</v>
      </c>
    </row>
    <row r="169" spans="1:10" x14ac:dyDescent="0.25">
      <c r="A169" t="s">
        <v>9</v>
      </c>
      <c r="B169" t="s">
        <v>14</v>
      </c>
      <c r="C169">
        <v>2</v>
      </c>
      <c r="D169">
        <v>1</v>
      </c>
      <c r="F169">
        <v>241824.43350000001</v>
      </c>
      <c r="G169">
        <v>72614.43346</v>
      </c>
      <c r="H169">
        <v>95810</v>
      </c>
      <c r="I169">
        <v>73400</v>
      </c>
      <c r="J169">
        <v>42.20593564</v>
      </c>
    </row>
    <row r="170" spans="1:10" x14ac:dyDescent="0.25">
      <c r="A170" t="s">
        <v>9</v>
      </c>
      <c r="B170" t="s">
        <v>14</v>
      </c>
      <c r="C170">
        <v>2</v>
      </c>
      <c r="D170">
        <v>1</v>
      </c>
      <c r="F170">
        <v>238744.60089999999</v>
      </c>
      <c r="G170">
        <v>73894.600869999995</v>
      </c>
      <c r="H170">
        <v>94450</v>
      </c>
      <c r="I170">
        <v>70400</v>
      </c>
      <c r="J170">
        <v>41.27506597</v>
      </c>
    </row>
    <row r="171" spans="1:10" x14ac:dyDescent="0.25">
      <c r="A171" t="s">
        <v>9</v>
      </c>
      <c r="B171" t="s">
        <v>14</v>
      </c>
      <c r="C171">
        <v>2</v>
      </c>
      <c r="D171">
        <v>1</v>
      </c>
      <c r="F171">
        <v>244709.23240000001</v>
      </c>
      <c r="G171">
        <v>76349.232409999997</v>
      </c>
      <c r="H171">
        <v>94360</v>
      </c>
      <c r="I171">
        <v>74000</v>
      </c>
      <c r="J171">
        <v>42.643607430000003</v>
      </c>
    </row>
  </sheetData>
  <sortState xmlns:xlrd2="http://schemas.microsoft.com/office/spreadsheetml/2017/richdata2" ref="A2:J141">
    <sortCondition ref="A2:A141"/>
    <sortCondition ref="B2:B141"/>
    <sortCondition ref="C2:C141"/>
    <sortCondition ref="D2:D141"/>
    <sortCondition ref="E2:E14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C7FD4-15B5-4808-87AE-4C6252C573EE}">
  <dimension ref="A1:E171"/>
  <sheetViews>
    <sheetView tabSelected="1" workbookViewId="0">
      <selection activeCell="G12" sqref="G12"/>
    </sheetView>
  </sheetViews>
  <sheetFormatPr defaultRowHeight="15" x14ac:dyDescent="0.25"/>
  <cols>
    <col min="1" max="1" width="10.28515625" bestFit="1" customWidth="1"/>
    <col min="7" max="7" width="47.42578125" bestFit="1" customWidth="1"/>
    <col min="8" max="8" width="12.7109375" bestFit="1" customWidth="1"/>
    <col min="9" max="9" width="12.7109375" customWidth="1"/>
  </cols>
  <sheetData>
    <row r="1" spans="1:5" x14ac:dyDescent="0.25">
      <c r="A1" s="2" t="s">
        <v>0</v>
      </c>
      <c r="B1" s="2" t="s">
        <v>1</v>
      </c>
      <c r="C1" s="2" t="s">
        <v>11</v>
      </c>
      <c r="D1" s="2" t="s">
        <v>12</v>
      </c>
      <c r="E1" s="2" t="s">
        <v>56</v>
      </c>
    </row>
    <row r="2" spans="1:5" x14ac:dyDescent="0.25">
      <c r="A2" t="s">
        <v>9</v>
      </c>
      <c r="B2" t="s">
        <v>10</v>
      </c>
      <c r="C2">
        <v>0</v>
      </c>
      <c r="D2">
        <v>1</v>
      </c>
      <c r="E2">
        <v>277664.0393</v>
      </c>
    </row>
    <row r="3" spans="1:5" x14ac:dyDescent="0.25">
      <c r="A3" t="s">
        <v>9</v>
      </c>
      <c r="B3" t="s">
        <v>10</v>
      </c>
      <c r="C3">
        <v>0</v>
      </c>
      <c r="D3">
        <v>2</v>
      </c>
      <c r="E3">
        <v>277664.0393</v>
      </c>
    </row>
    <row r="4" spans="1:5" x14ac:dyDescent="0.25">
      <c r="A4" t="s">
        <v>9</v>
      </c>
      <c r="B4" t="s">
        <v>10</v>
      </c>
      <c r="C4">
        <v>0</v>
      </c>
      <c r="D4">
        <v>3</v>
      </c>
      <c r="E4">
        <v>277664.0393</v>
      </c>
    </row>
    <row r="5" spans="1:5" x14ac:dyDescent="0.25">
      <c r="A5" t="s">
        <v>9</v>
      </c>
      <c r="B5" t="s">
        <v>10</v>
      </c>
      <c r="C5">
        <v>0</v>
      </c>
      <c r="D5">
        <v>4</v>
      </c>
      <c r="E5">
        <v>277664.0393</v>
      </c>
    </row>
    <row r="6" spans="1:5" x14ac:dyDescent="0.25">
      <c r="A6" t="s">
        <v>9</v>
      </c>
      <c r="B6" t="s">
        <v>10</v>
      </c>
      <c r="C6">
        <v>0</v>
      </c>
      <c r="D6">
        <v>5</v>
      </c>
      <c r="E6">
        <v>277664.0393</v>
      </c>
    </row>
    <row r="7" spans="1:5" x14ac:dyDescent="0.25">
      <c r="A7" t="s">
        <v>9</v>
      </c>
      <c r="B7" t="s">
        <v>10</v>
      </c>
      <c r="C7">
        <v>0</v>
      </c>
      <c r="D7">
        <v>6</v>
      </c>
      <c r="E7">
        <v>277664.0393</v>
      </c>
    </row>
    <row r="8" spans="1:5" x14ac:dyDescent="0.25">
      <c r="A8" t="s">
        <v>9</v>
      </c>
      <c r="B8" t="s">
        <v>10</v>
      </c>
      <c r="C8">
        <v>0</v>
      </c>
      <c r="D8">
        <v>7</v>
      </c>
      <c r="E8">
        <v>277664.0393</v>
      </c>
    </row>
    <row r="9" spans="1:5" x14ac:dyDescent="0.25">
      <c r="A9" t="s">
        <v>9</v>
      </c>
      <c r="B9" t="s">
        <v>10</v>
      </c>
      <c r="C9">
        <v>0</v>
      </c>
      <c r="D9">
        <v>8</v>
      </c>
      <c r="E9">
        <v>277664.0393</v>
      </c>
    </row>
    <row r="10" spans="1:5" x14ac:dyDescent="0.25">
      <c r="A10" t="s">
        <v>9</v>
      </c>
      <c r="B10" t="s">
        <v>10</v>
      </c>
      <c r="C10">
        <v>0</v>
      </c>
      <c r="D10">
        <v>9</v>
      </c>
      <c r="E10">
        <v>277664.0393</v>
      </c>
    </row>
    <row r="11" spans="1:5" x14ac:dyDescent="0.25">
      <c r="A11" t="s">
        <v>9</v>
      </c>
      <c r="B11" t="s">
        <v>10</v>
      </c>
      <c r="C11">
        <v>0</v>
      </c>
      <c r="D11">
        <v>10</v>
      </c>
      <c r="E11">
        <v>277664.0393</v>
      </c>
    </row>
    <row r="12" spans="1:5" x14ac:dyDescent="0.25">
      <c r="A12" t="s">
        <v>9</v>
      </c>
      <c r="B12" t="s">
        <v>10</v>
      </c>
      <c r="C12">
        <v>0.25</v>
      </c>
      <c r="D12">
        <v>1</v>
      </c>
      <c r="E12">
        <v>276985.39140000002</v>
      </c>
    </row>
    <row r="13" spans="1:5" x14ac:dyDescent="0.25">
      <c r="A13" t="s">
        <v>9</v>
      </c>
      <c r="B13" t="s">
        <v>10</v>
      </c>
      <c r="C13">
        <v>0.25</v>
      </c>
      <c r="D13">
        <v>2</v>
      </c>
      <c r="E13">
        <v>276985.39140000002</v>
      </c>
    </row>
    <row r="14" spans="1:5" x14ac:dyDescent="0.25">
      <c r="A14" t="s">
        <v>9</v>
      </c>
      <c r="B14" t="s">
        <v>10</v>
      </c>
      <c r="C14">
        <v>0.25</v>
      </c>
      <c r="D14">
        <v>3</v>
      </c>
      <c r="E14">
        <v>276985.39140000002</v>
      </c>
    </row>
    <row r="15" spans="1:5" x14ac:dyDescent="0.25">
      <c r="A15" t="s">
        <v>9</v>
      </c>
      <c r="B15" t="s">
        <v>10</v>
      </c>
      <c r="C15">
        <v>0.25</v>
      </c>
      <c r="D15">
        <v>4</v>
      </c>
      <c r="E15">
        <v>276985.39140000002</v>
      </c>
    </row>
    <row r="16" spans="1:5" x14ac:dyDescent="0.25">
      <c r="A16" t="s">
        <v>9</v>
      </c>
      <c r="B16" t="s">
        <v>10</v>
      </c>
      <c r="C16">
        <v>0.25</v>
      </c>
      <c r="D16">
        <v>5</v>
      </c>
      <c r="E16">
        <v>276985.39140000002</v>
      </c>
    </row>
    <row r="17" spans="1:5" x14ac:dyDescent="0.25">
      <c r="A17" t="s">
        <v>9</v>
      </c>
      <c r="B17" t="s">
        <v>10</v>
      </c>
      <c r="C17">
        <v>0.25</v>
      </c>
      <c r="D17">
        <v>6</v>
      </c>
      <c r="E17">
        <v>276985.39140000002</v>
      </c>
    </row>
    <row r="18" spans="1:5" x14ac:dyDescent="0.25">
      <c r="A18" t="s">
        <v>9</v>
      </c>
      <c r="B18" t="s">
        <v>10</v>
      </c>
      <c r="C18">
        <v>0.25</v>
      </c>
      <c r="D18">
        <v>7</v>
      </c>
      <c r="E18">
        <v>276985.39140000002</v>
      </c>
    </row>
    <row r="19" spans="1:5" x14ac:dyDescent="0.25">
      <c r="A19" t="s">
        <v>9</v>
      </c>
      <c r="B19" t="s">
        <v>10</v>
      </c>
      <c r="C19">
        <v>0.25</v>
      </c>
      <c r="D19">
        <v>8</v>
      </c>
      <c r="E19">
        <v>276985.39140000002</v>
      </c>
    </row>
    <row r="20" spans="1:5" x14ac:dyDescent="0.25">
      <c r="A20" t="s">
        <v>9</v>
      </c>
      <c r="B20" t="s">
        <v>10</v>
      </c>
      <c r="C20">
        <v>0.25</v>
      </c>
      <c r="D20">
        <v>9</v>
      </c>
      <c r="E20">
        <v>276985.39140000002</v>
      </c>
    </row>
    <row r="21" spans="1:5" x14ac:dyDescent="0.25">
      <c r="A21" t="s">
        <v>9</v>
      </c>
      <c r="B21" t="s">
        <v>10</v>
      </c>
      <c r="C21">
        <v>0.25</v>
      </c>
      <c r="D21">
        <v>10</v>
      </c>
      <c r="E21">
        <v>276985.39140000002</v>
      </c>
    </row>
    <row r="22" spans="1:5" x14ac:dyDescent="0.25">
      <c r="A22" t="s">
        <v>9</v>
      </c>
      <c r="B22" t="s">
        <v>10</v>
      </c>
      <c r="C22">
        <v>0.5</v>
      </c>
      <c r="D22">
        <v>1</v>
      </c>
      <c r="E22">
        <v>281376.0098</v>
      </c>
    </row>
    <row r="23" spans="1:5" x14ac:dyDescent="0.25">
      <c r="A23" t="s">
        <v>9</v>
      </c>
      <c r="B23" t="s">
        <v>10</v>
      </c>
      <c r="C23">
        <v>0.5</v>
      </c>
      <c r="D23">
        <v>2</v>
      </c>
      <c r="E23">
        <v>281376.0098</v>
      </c>
    </row>
    <row r="24" spans="1:5" x14ac:dyDescent="0.25">
      <c r="A24" t="s">
        <v>9</v>
      </c>
      <c r="B24" t="s">
        <v>10</v>
      </c>
      <c r="C24">
        <v>0.5</v>
      </c>
      <c r="D24">
        <v>3</v>
      </c>
      <c r="E24">
        <v>281376.0098</v>
      </c>
    </row>
    <row r="25" spans="1:5" x14ac:dyDescent="0.25">
      <c r="A25" t="s">
        <v>9</v>
      </c>
      <c r="B25" t="s">
        <v>10</v>
      </c>
      <c r="C25">
        <v>0.5</v>
      </c>
      <c r="D25">
        <v>4</v>
      </c>
      <c r="E25">
        <v>281376.0098</v>
      </c>
    </row>
    <row r="26" spans="1:5" x14ac:dyDescent="0.25">
      <c r="A26" t="s">
        <v>9</v>
      </c>
      <c r="B26" t="s">
        <v>10</v>
      </c>
      <c r="C26">
        <v>0.5</v>
      </c>
      <c r="D26">
        <v>5</v>
      </c>
      <c r="E26">
        <v>281376.0098</v>
      </c>
    </row>
    <row r="27" spans="1:5" x14ac:dyDescent="0.25">
      <c r="A27" t="s">
        <v>9</v>
      </c>
      <c r="B27" t="s">
        <v>10</v>
      </c>
      <c r="C27">
        <v>0.5</v>
      </c>
      <c r="D27">
        <v>6</v>
      </c>
      <c r="E27">
        <v>281376.0098</v>
      </c>
    </row>
    <row r="28" spans="1:5" x14ac:dyDescent="0.25">
      <c r="A28" t="s">
        <v>9</v>
      </c>
      <c r="B28" t="s">
        <v>10</v>
      </c>
      <c r="C28">
        <v>0.5</v>
      </c>
      <c r="D28">
        <v>7</v>
      </c>
      <c r="E28">
        <v>281376.0098</v>
      </c>
    </row>
    <row r="29" spans="1:5" x14ac:dyDescent="0.25">
      <c r="A29" t="s">
        <v>9</v>
      </c>
      <c r="B29" t="s">
        <v>10</v>
      </c>
      <c r="C29">
        <v>0.5</v>
      </c>
      <c r="D29">
        <v>8</v>
      </c>
      <c r="E29">
        <v>281376.0098</v>
      </c>
    </row>
    <row r="30" spans="1:5" x14ac:dyDescent="0.25">
      <c r="A30" t="s">
        <v>9</v>
      </c>
      <c r="B30" t="s">
        <v>10</v>
      </c>
      <c r="C30">
        <v>0.5</v>
      </c>
      <c r="D30">
        <v>9</v>
      </c>
      <c r="E30">
        <v>281376.0098</v>
      </c>
    </row>
    <row r="31" spans="1:5" x14ac:dyDescent="0.25">
      <c r="A31" t="s">
        <v>9</v>
      </c>
      <c r="B31" t="s">
        <v>10</v>
      </c>
      <c r="C31">
        <v>0.5</v>
      </c>
      <c r="D31">
        <v>10</v>
      </c>
      <c r="E31">
        <v>281376.0098</v>
      </c>
    </row>
    <row r="32" spans="1:5" x14ac:dyDescent="0.25">
      <c r="A32" t="s">
        <v>9</v>
      </c>
      <c r="B32" t="s">
        <v>10</v>
      </c>
      <c r="C32">
        <v>0.75</v>
      </c>
      <c r="D32">
        <v>1</v>
      </c>
      <c r="E32">
        <v>301375.6312</v>
      </c>
    </row>
    <row r="33" spans="1:5" x14ac:dyDescent="0.25">
      <c r="A33" t="s">
        <v>9</v>
      </c>
      <c r="B33" t="s">
        <v>10</v>
      </c>
      <c r="C33">
        <v>0.75</v>
      </c>
      <c r="D33">
        <v>2</v>
      </c>
      <c r="E33">
        <v>301375.6312</v>
      </c>
    </row>
    <row r="34" spans="1:5" x14ac:dyDescent="0.25">
      <c r="A34" t="s">
        <v>9</v>
      </c>
      <c r="B34" t="s">
        <v>10</v>
      </c>
      <c r="C34">
        <v>0.75</v>
      </c>
      <c r="D34">
        <v>3</v>
      </c>
      <c r="E34">
        <v>301375.6312</v>
      </c>
    </row>
    <row r="35" spans="1:5" x14ac:dyDescent="0.25">
      <c r="A35" t="s">
        <v>9</v>
      </c>
      <c r="B35" t="s">
        <v>10</v>
      </c>
      <c r="C35">
        <v>0.75</v>
      </c>
      <c r="D35">
        <v>4</v>
      </c>
      <c r="E35">
        <v>301375.6312</v>
      </c>
    </row>
    <row r="36" spans="1:5" x14ac:dyDescent="0.25">
      <c r="A36" t="s">
        <v>9</v>
      </c>
      <c r="B36" t="s">
        <v>10</v>
      </c>
      <c r="C36">
        <v>0.75</v>
      </c>
      <c r="D36">
        <v>5</v>
      </c>
      <c r="E36">
        <v>301375.6312</v>
      </c>
    </row>
    <row r="37" spans="1:5" x14ac:dyDescent="0.25">
      <c r="A37" t="s">
        <v>9</v>
      </c>
      <c r="B37" t="s">
        <v>10</v>
      </c>
      <c r="C37">
        <v>0.75</v>
      </c>
      <c r="D37">
        <v>6</v>
      </c>
      <c r="E37">
        <v>301375.6312</v>
      </c>
    </row>
    <row r="38" spans="1:5" x14ac:dyDescent="0.25">
      <c r="A38" t="s">
        <v>9</v>
      </c>
      <c r="B38" t="s">
        <v>10</v>
      </c>
      <c r="C38">
        <v>0.75</v>
      </c>
      <c r="D38">
        <v>7</v>
      </c>
      <c r="E38">
        <v>301375.6312</v>
      </c>
    </row>
    <row r="39" spans="1:5" x14ac:dyDescent="0.25">
      <c r="A39" t="s">
        <v>9</v>
      </c>
      <c r="B39" t="s">
        <v>10</v>
      </c>
      <c r="C39">
        <v>0.75</v>
      </c>
      <c r="D39">
        <v>8</v>
      </c>
      <c r="E39">
        <v>301375.6312</v>
      </c>
    </row>
    <row r="40" spans="1:5" x14ac:dyDescent="0.25">
      <c r="A40" t="s">
        <v>9</v>
      </c>
      <c r="B40" t="s">
        <v>10</v>
      </c>
      <c r="C40">
        <v>0.75</v>
      </c>
      <c r="D40">
        <v>9</v>
      </c>
      <c r="E40">
        <v>301375.6312</v>
      </c>
    </row>
    <row r="41" spans="1:5" x14ac:dyDescent="0.25">
      <c r="A41" t="s">
        <v>9</v>
      </c>
      <c r="B41" t="s">
        <v>10</v>
      </c>
      <c r="C41">
        <v>0.75</v>
      </c>
      <c r="D41">
        <v>10</v>
      </c>
      <c r="E41">
        <v>301375.6312</v>
      </c>
    </row>
    <row r="42" spans="1:5" x14ac:dyDescent="0.25">
      <c r="A42" t="s">
        <v>9</v>
      </c>
      <c r="B42" t="s">
        <v>10</v>
      </c>
      <c r="C42">
        <v>1</v>
      </c>
      <c r="D42">
        <v>1</v>
      </c>
      <c r="E42">
        <v>295078.0295</v>
      </c>
    </row>
    <row r="43" spans="1:5" x14ac:dyDescent="0.25">
      <c r="A43" t="s">
        <v>9</v>
      </c>
      <c r="B43" t="s">
        <v>10</v>
      </c>
      <c r="C43">
        <v>1</v>
      </c>
      <c r="D43">
        <v>2</v>
      </c>
      <c r="E43">
        <v>295078.0295</v>
      </c>
    </row>
    <row r="44" spans="1:5" x14ac:dyDescent="0.25">
      <c r="A44" t="s">
        <v>9</v>
      </c>
      <c r="B44" t="s">
        <v>10</v>
      </c>
      <c r="C44">
        <v>1</v>
      </c>
      <c r="D44">
        <v>3</v>
      </c>
      <c r="E44">
        <v>295078.0295</v>
      </c>
    </row>
    <row r="45" spans="1:5" x14ac:dyDescent="0.25">
      <c r="A45" t="s">
        <v>9</v>
      </c>
      <c r="B45" t="s">
        <v>10</v>
      </c>
      <c r="C45">
        <v>1</v>
      </c>
      <c r="D45">
        <v>4</v>
      </c>
      <c r="E45">
        <v>295078.0295</v>
      </c>
    </row>
    <row r="46" spans="1:5" x14ac:dyDescent="0.25">
      <c r="A46" t="s">
        <v>9</v>
      </c>
      <c r="B46" t="s">
        <v>10</v>
      </c>
      <c r="C46">
        <v>1</v>
      </c>
      <c r="D46">
        <v>5</v>
      </c>
      <c r="E46">
        <v>295078.0295</v>
      </c>
    </row>
    <row r="47" spans="1:5" x14ac:dyDescent="0.25">
      <c r="A47" t="s">
        <v>9</v>
      </c>
      <c r="B47" t="s">
        <v>10</v>
      </c>
      <c r="C47">
        <v>1</v>
      </c>
      <c r="D47">
        <v>6</v>
      </c>
      <c r="E47">
        <v>295078.0295</v>
      </c>
    </row>
    <row r="48" spans="1:5" x14ac:dyDescent="0.25">
      <c r="A48" t="s">
        <v>9</v>
      </c>
      <c r="B48" t="s">
        <v>10</v>
      </c>
      <c r="C48">
        <v>1</v>
      </c>
      <c r="D48">
        <v>7</v>
      </c>
      <c r="E48">
        <v>295078.0295</v>
      </c>
    </row>
    <row r="49" spans="1:5" x14ac:dyDescent="0.25">
      <c r="A49" t="s">
        <v>9</v>
      </c>
      <c r="B49" t="s">
        <v>10</v>
      </c>
      <c r="C49">
        <v>1</v>
      </c>
      <c r="D49">
        <v>8</v>
      </c>
      <c r="E49">
        <v>295078.0295</v>
      </c>
    </row>
    <row r="50" spans="1:5" x14ac:dyDescent="0.25">
      <c r="A50" t="s">
        <v>9</v>
      </c>
      <c r="B50" t="s">
        <v>10</v>
      </c>
      <c r="C50">
        <v>1</v>
      </c>
      <c r="D50">
        <v>9</v>
      </c>
      <c r="E50">
        <v>295078.0295</v>
      </c>
    </row>
    <row r="51" spans="1:5" x14ac:dyDescent="0.25">
      <c r="A51" t="s">
        <v>9</v>
      </c>
      <c r="B51" t="s">
        <v>10</v>
      </c>
      <c r="C51">
        <v>1</v>
      </c>
      <c r="D51">
        <v>10</v>
      </c>
      <c r="E51">
        <v>295078.0295</v>
      </c>
    </row>
    <row r="52" spans="1:5" x14ac:dyDescent="0.25">
      <c r="A52" t="s">
        <v>9</v>
      </c>
      <c r="B52" t="s">
        <v>13</v>
      </c>
      <c r="C52">
        <v>8</v>
      </c>
      <c r="D52">
        <v>1</v>
      </c>
      <c r="E52">
        <v>394770</v>
      </c>
    </row>
    <row r="53" spans="1:5" x14ac:dyDescent="0.25">
      <c r="A53" t="s">
        <v>9</v>
      </c>
      <c r="B53" t="s">
        <v>13</v>
      </c>
      <c r="C53">
        <v>8</v>
      </c>
      <c r="D53">
        <v>2</v>
      </c>
      <c r="E53">
        <v>394770</v>
      </c>
    </row>
    <row r="54" spans="1:5" x14ac:dyDescent="0.25">
      <c r="A54" t="s">
        <v>9</v>
      </c>
      <c r="B54" t="s">
        <v>13</v>
      </c>
      <c r="C54">
        <v>8</v>
      </c>
      <c r="D54">
        <v>3</v>
      </c>
      <c r="E54">
        <v>394770</v>
      </c>
    </row>
    <row r="55" spans="1:5" x14ac:dyDescent="0.25">
      <c r="A55" t="s">
        <v>9</v>
      </c>
      <c r="B55" t="s">
        <v>13</v>
      </c>
      <c r="C55">
        <v>8</v>
      </c>
      <c r="D55">
        <v>4</v>
      </c>
      <c r="E55">
        <v>394770</v>
      </c>
    </row>
    <row r="56" spans="1:5" x14ac:dyDescent="0.25">
      <c r="A56" t="s">
        <v>9</v>
      </c>
      <c r="B56" t="s">
        <v>13</v>
      </c>
      <c r="C56">
        <v>8</v>
      </c>
      <c r="D56">
        <v>5</v>
      </c>
      <c r="E56">
        <v>394770</v>
      </c>
    </row>
    <row r="57" spans="1:5" x14ac:dyDescent="0.25">
      <c r="A57" t="s">
        <v>9</v>
      </c>
      <c r="B57" t="s">
        <v>13</v>
      </c>
      <c r="C57">
        <v>8</v>
      </c>
      <c r="D57">
        <v>6</v>
      </c>
      <c r="E57">
        <v>394770</v>
      </c>
    </row>
    <row r="58" spans="1:5" x14ac:dyDescent="0.25">
      <c r="A58" t="s">
        <v>9</v>
      </c>
      <c r="B58" t="s">
        <v>13</v>
      </c>
      <c r="C58">
        <v>8</v>
      </c>
      <c r="D58">
        <v>7</v>
      </c>
      <c r="E58">
        <v>394770</v>
      </c>
    </row>
    <row r="59" spans="1:5" x14ac:dyDescent="0.25">
      <c r="A59" t="s">
        <v>9</v>
      </c>
      <c r="B59" t="s">
        <v>13</v>
      </c>
      <c r="C59">
        <v>8</v>
      </c>
      <c r="D59">
        <v>8</v>
      </c>
      <c r="E59">
        <v>394770</v>
      </c>
    </row>
    <row r="60" spans="1:5" x14ac:dyDescent="0.25">
      <c r="A60" t="s">
        <v>9</v>
      </c>
      <c r="B60" t="s">
        <v>13</v>
      </c>
      <c r="C60">
        <v>8</v>
      </c>
      <c r="D60">
        <v>9</v>
      </c>
      <c r="E60">
        <v>394770</v>
      </c>
    </row>
    <row r="61" spans="1:5" x14ac:dyDescent="0.25">
      <c r="A61" t="s">
        <v>9</v>
      </c>
      <c r="B61" t="s">
        <v>13</v>
      </c>
      <c r="C61">
        <v>8</v>
      </c>
      <c r="D61">
        <v>10</v>
      </c>
      <c r="E61">
        <v>394770</v>
      </c>
    </row>
    <row r="62" spans="1:5" x14ac:dyDescent="0.25">
      <c r="A62" t="s">
        <v>9</v>
      </c>
      <c r="B62" t="s">
        <v>13</v>
      </c>
      <c r="C62">
        <v>12</v>
      </c>
      <c r="D62">
        <v>1</v>
      </c>
      <c r="E62">
        <v>325690</v>
      </c>
    </row>
    <row r="63" spans="1:5" x14ac:dyDescent="0.25">
      <c r="A63" t="s">
        <v>9</v>
      </c>
      <c r="B63" t="s">
        <v>13</v>
      </c>
      <c r="C63">
        <v>12</v>
      </c>
      <c r="D63">
        <v>2</v>
      </c>
      <c r="E63">
        <v>325690</v>
      </c>
    </row>
    <row r="64" spans="1:5" x14ac:dyDescent="0.25">
      <c r="A64" t="s">
        <v>9</v>
      </c>
      <c r="B64" t="s">
        <v>13</v>
      </c>
      <c r="C64">
        <v>12</v>
      </c>
      <c r="D64">
        <v>3</v>
      </c>
      <c r="E64">
        <v>325690</v>
      </c>
    </row>
    <row r="65" spans="1:5" x14ac:dyDescent="0.25">
      <c r="A65" t="s">
        <v>9</v>
      </c>
      <c r="B65" t="s">
        <v>13</v>
      </c>
      <c r="C65">
        <v>12</v>
      </c>
      <c r="D65">
        <v>4</v>
      </c>
      <c r="E65">
        <v>325690</v>
      </c>
    </row>
    <row r="66" spans="1:5" x14ac:dyDescent="0.25">
      <c r="A66" t="s">
        <v>9</v>
      </c>
      <c r="B66" t="s">
        <v>13</v>
      </c>
      <c r="C66">
        <v>12</v>
      </c>
      <c r="D66">
        <v>5</v>
      </c>
      <c r="E66">
        <v>325690</v>
      </c>
    </row>
    <row r="67" spans="1:5" x14ac:dyDescent="0.25">
      <c r="A67" t="s">
        <v>9</v>
      </c>
      <c r="B67" t="s">
        <v>13</v>
      </c>
      <c r="C67">
        <v>12</v>
      </c>
      <c r="D67">
        <v>6</v>
      </c>
      <c r="E67">
        <v>325690</v>
      </c>
    </row>
    <row r="68" spans="1:5" x14ac:dyDescent="0.25">
      <c r="A68" t="s">
        <v>9</v>
      </c>
      <c r="B68" t="s">
        <v>13</v>
      </c>
      <c r="C68">
        <v>12</v>
      </c>
      <c r="D68">
        <v>7</v>
      </c>
      <c r="E68">
        <v>325690</v>
      </c>
    </row>
    <row r="69" spans="1:5" x14ac:dyDescent="0.25">
      <c r="A69" t="s">
        <v>9</v>
      </c>
      <c r="B69" t="s">
        <v>13</v>
      </c>
      <c r="C69">
        <v>12</v>
      </c>
      <c r="D69">
        <v>8</v>
      </c>
      <c r="E69">
        <v>325690</v>
      </c>
    </row>
    <row r="70" spans="1:5" x14ac:dyDescent="0.25">
      <c r="A70" t="s">
        <v>9</v>
      </c>
      <c r="B70" t="s">
        <v>13</v>
      </c>
      <c r="C70">
        <v>12</v>
      </c>
      <c r="D70">
        <v>9</v>
      </c>
      <c r="E70">
        <v>325690</v>
      </c>
    </row>
    <row r="71" spans="1:5" x14ac:dyDescent="0.25">
      <c r="A71" t="s">
        <v>9</v>
      </c>
      <c r="B71" t="s">
        <v>13</v>
      </c>
      <c r="C71">
        <v>12</v>
      </c>
      <c r="D71">
        <v>10</v>
      </c>
      <c r="E71">
        <v>325690</v>
      </c>
    </row>
    <row r="72" spans="1:5" x14ac:dyDescent="0.25">
      <c r="A72" t="s">
        <v>9</v>
      </c>
      <c r="B72" t="s">
        <v>13</v>
      </c>
      <c r="C72">
        <v>16</v>
      </c>
      <c r="D72">
        <v>1</v>
      </c>
      <c r="E72">
        <v>289174.0393</v>
      </c>
    </row>
    <row r="73" spans="1:5" x14ac:dyDescent="0.25">
      <c r="A73" t="s">
        <v>9</v>
      </c>
      <c r="B73" t="s">
        <v>13</v>
      </c>
      <c r="C73">
        <v>16</v>
      </c>
      <c r="D73">
        <v>2</v>
      </c>
      <c r="E73">
        <v>289174.0393</v>
      </c>
    </row>
    <row r="74" spans="1:5" x14ac:dyDescent="0.25">
      <c r="A74" t="s">
        <v>9</v>
      </c>
      <c r="B74" t="s">
        <v>13</v>
      </c>
      <c r="C74">
        <v>16</v>
      </c>
      <c r="D74">
        <v>3</v>
      </c>
      <c r="E74">
        <v>289174.0393</v>
      </c>
    </row>
    <row r="75" spans="1:5" x14ac:dyDescent="0.25">
      <c r="A75" t="s">
        <v>9</v>
      </c>
      <c r="B75" t="s">
        <v>13</v>
      </c>
      <c r="C75">
        <v>16</v>
      </c>
      <c r="D75">
        <v>4</v>
      </c>
      <c r="E75">
        <v>289174.0393</v>
      </c>
    </row>
    <row r="76" spans="1:5" x14ac:dyDescent="0.25">
      <c r="A76" t="s">
        <v>9</v>
      </c>
      <c r="B76" t="s">
        <v>13</v>
      </c>
      <c r="C76">
        <v>16</v>
      </c>
      <c r="D76">
        <v>5</v>
      </c>
      <c r="E76">
        <v>289174.0393</v>
      </c>
    </row>
    <row r="77" spans="1:5" x14ac:dyDescent="0.25">
      <c r="A77" t="s">
        <v>9</v>
      </c>
      <c r="B77" t="s">
        <v>13</v>
      </c>
      <c r="C77">
        <v>16</v>
      </c>
      <c r="D77">
        <v>6</v>
      </c>
      <c r="E77">
        <v>289174.0393</v>
      </c>
    </row>
    <row r="78" spans="1:5" x14ac:dyDescent="0.25">
      <c r="A78" t="s">
        <v>9</v>
      </c>
      <c r="B78" t="s">
        <v>13</v>
      </c>
      <c r="C78">
        <v>16</v>
      </c>
      <c r="D78">
        <v>7</v>
      </c>
      <c r="E78">
        <v>289174.0393</v>
      </c>
    </row>
    <row r="79" spans="1:5" x14ac:dyDescent="0.25">
      <c r="A79" t="s">
        <v>9</v>
      </c>
      <c r="B79" t="s">
        <v>13</v>
      </c>
      <c r="C79">
        <v>16</v>
      </c>
      <c r="D79">
        <v>8</v>
      </c>
      <c r="E79">
        <v>289174.0393</v>
      </c>
    </row>
    <row r="80" spans="1:5" x14ac:dyDescent="0.25">
      <c r="A80" t="s">
        <v>9</v>
      </c>
      <c r="B80" t="s">
        <v>13</v>
      </c>
      <c r="C80">
        <v>16</v>
      </c>
      <c r="D80">
        <v>9</v>
      </c>
      <c r="E80">
        <v>289174.0393</v>
      </c>
    </row>
    <row r="81" spans="1:5" x14ac:dyDescent="0.25">
      <c r="A81" t="s">
        <v>9</v>
      </c>
      <c r="B81" t="s">
        <v>13</v>
      </c>
      <c r="C81">
        <v>16</v>
      </c>
      <c r="D81">
        <v>10</v>
      </c>
      <c r="E81">
        <v>289174.0393</v>
      </c>
    </row>
    <row r="82" spans="1:5" x14ac:dyDescent="0.25">
      <c r="A82" t="s">
        <v>9</v>
      </c>
      <c r="B82" t="s">
        <v>13</v>
      </c>
      <c r="C82">
        <v>18</v>
      </c>
      <c r="D82">
        <v>1</v>
      </c>
      <c r="E82">
        <v>277664.0393</v>
      </c>
    </row>
    <row r="83" spans="1:5" x14ac:dyDescent="0.25">
      <c r="A83" t="s">
        <v>9</v>
      </c>
      <c r="B83" t="s">
        <v>13</v>
      </c>
      <c r="C83">
        <v>18</v>
      </c>
      <c r="D83">
        <v>2</v>
      </c>
      <c r="E83">
        <v>277664.0393</v>
      </c>
    </row>
    <row r="84" spans="1:5" x14ac:dyDescent="0.25">
      <c r="A84" t="s">
        <v>9</v>
      </c>
      <c r="B84" t="s">
        <v>13</v>
      </c>
      <c r="C84">
        <v>18</v>
      </c>
      <c r="D84">
        <v>3</v>
      </c>
      <c r="E84">
        <v>277664.0393</v>
      </c>
    </row>
    <row r="85" spans="1:5" x14ac:dyDescent="0.25">
      <c r="A85" t="s">
        <v>9</v>
      </c>
      <c r="B85" t="s">
        <v>13</v>
      </c>
      <c r="C85">
        <v>18</v>
      </c>
      <c r="D85">
        <v>4</v>
      </c>
      <c r="E85">
        <v>277664.0393</v>
      </c>
    </row>
    <row r="86" spans="1:5" x14ac:dyDescent="0.25">
      <c r="A86" t="s">
        <v>9</v>
      </c>
      <c r="B86" t="s">
        <v>13</v>
      </c>
      <c r="C86">
        <v>18</v>
      </c>
      <c r="D86">
        <v>5</v>
      </c>
      <c r="E86">
        <v>277664.0393</v>
      </c>
    </row>
    <row r="87" spans="1:5" x14ac:dyDescent="0.25">
      <c r="A87" t="s">
        <v>9</v>
      </c>
      <c r="B87" t="s">
        <v>13</v>
      </c>
      <c r="C87">
        <v>18</v>
      </c>
      <c r="D87">
        <v>6</v>
      </c>
      <c r="E87">
        <v>277664.0393</v>
      </c>
    </row>
    <row r="88" spans="1:5" x14ac:dyDescent="0.25">
      <c r="A88" t="s">
        <v>9</v>
      </c>
      <c r="B88" t="s">
        <v>13</v>
      </c>
      <c r="C88">
        <v>18</v>
      </c>
      <c r="D88">
        <v>7</v>
      </c>
      <c r="E88">
        <v>277664.0393</v>
      </c>
    </row>
    <row r="89" spans="1:5" x14ac:dyDescent="0.25">
      <c r="A89" t="s">
        <v>9</v>
      </c>
      <c r="B89" t="s">
        <v>13</v>
      </c>
      <c r="C89">
        <v>18</v>
      </c>
      <c r="D89">
        <v>8</v>
      </c>
      <c r="E89">
        <v>277664.0393</v>
      </c>
    </row>
    <row r="90" spans="1:5" x14ac:dyDescent="0.25">
      <c r="A90" t="s">
        <v>9</v>
      </c>
      <c r="B90" t="s">
        <v>13</v>
      </c>
      <c r="C90">
        <v>18</v>
      </c>
      <c r="D90">
        <v>9</v>
      </c>
      <c r="E90">
        <v>277664.0393</v>
      </c>
    </row>
    <row r="91" spans="1:5" x14ac:dyDescent="0.25">
      <c r="A91" t="s">
        <v>9</v>
      </c>
      <c r="B91" t="s">
        <v>13</v>
      </c>
      <c r="C91">
        <v>18</v>
      </c>
      <c r="D91">
        <v>10</v>
      </c>
      <c r="E91">
        <v>277664.0393</v>
      </c>
    </row>
    <row r="92" spans="1:5" x14ac:dyDescent="0.25">
      <c r="A92" t="s">
        <v>9</v>
      </c>
      <c r="B92" t="s">
        <v>13</v>
      </c>
      <c r="C92">
        <v>20</v>
      </c>
      <c r="D92">
        <v>1</v>
      </c>
      <c r="E92">
        <v>266568.0295</v>
      </c>
    </row>
    <row r="93" spans="1:5" x14ac:dyDescent="0.25">
      <c r="A93" t="s">
        <v>9</v>
      </c>
      <c r="B93" t="s">
        <v>13</v>
      </c>
      <c r="C93">
        <v>20</v>
      </c>
      <c r="D93">
        <v>2</v>
      </c>
      <c r="E93">
        <v>266568.0295</v>
      </c>
    </row>
    <row r="94" spans="1:5" x14ac:dyDescent="0.25">
      <c r="A94" t="s">
        <v>9</v>
      </c>
      <c r="B94" t="s">
        <v>13</v>
      </c>
      <c r="C94">
        <v>20</v>
      </c>
      <c r="D94">
        <v>3</v>
      </c>
      <c r="E94">
        <v>266568.0295</v>
      </c>
    </row>
    <row r="95" spans="1:5" x14ac:dyDescent="0.25">
      <c r="A95" t="s">
        <v>9</v>
      </c>
      <c r="B95" t="s">
        <v>13</v>
      </c>
      <c r="C95">
        <v>20</v>
      </c>
      <c r="D95">
        <v>4</v>
      </c>
      <c r="E95">
        <v>266568.0295</v>
      </c>
    </row>
    <row r="96" spans="1:5" x14ac:dyDescent="0.25">
      <c r="A96" t="s">
        <v>9</v>
      </c>
      <c r="B96" t="s">
        <v>13</v>
      </c>
      <c r="C96">
        <v>20</v>
      </c>
      <c r="D96">
        <v>5</v>
      </c>
      <c r="E96">
        <v>266568.0295</v>
      </c>
    </row>
    <row r="97" spans="1:5" x14ac:dyDescent="0.25">
      <c r="A97" t="s">
        <v>9</v>
      </c>
      <c r="B97" t="s">
        <v>13</v>
      </c>
      <c r="C97">
        <v>20</v>
      </c>
      <c r="D97">
        <v>6</v>
      </c>
      <c r="E97">
        <v>266568.0295</v>
      </c>
    </row>
    <row r="98" spans="1:5" x14ac:dyDescent="0.25">
      <c r="A98" t="s">
        <v>9</v>
      </c>
      <c r="B98" t="s">
        <v>13</v>
      </c>
      <c r="C98">
        <v>20</v>
      </c>
      <c r="D98">
        <v>7</v>
      </c>
      <c r="E98">
        <v>266568.0295</v>
      </c>
    </row>
    <row r="99" spans="1:5" x14ac:dyDescent="0.25">
      <c r="A99" t="s">
        <v>9</v>
      </c>
      <c r="B99" t="s">
        <v>13</v>
      </c>
      <c r="C99">
        <v>20</v>
      </c>
      <c r="D99">
        <v>8</v>
      </c>
      <c r="E99">
        <v>266568.0295</v>
      </c>
    </row>
    <row r="100" spans="1:5" x14ac:dyDescent="0.25">
      <c r="A100" t="s">
        <v>9</v>
      </c>
      <c r="B100" t="s">
        <v>13</v>
      </c>
      <c r="C100">
        <v>20</v>
      </c>
      <c r="D100">
        <v>9</v>
      </c>
      <c r="E100">
        <v>266568.0295</v>
      </c>
    </row>
    <row r="101" spans="1:5" x14ac:dyDescent="0.25">
      <c r="A101" t="s">
        <v>9</v>
      </c>
      <c r="B101" t="s">
        <v>13</v>
      </c>
      <c r="C101">
        <v>20</v>
      </c>
      <c r="D101">
        <v>10</v>
      </c>
      <c r="E101">
        <v>266568.0295</v>
      </c>
    </row>
    <row r="102" spans="1:5" x14ac:dyDescent="0.25">
      <c r="A102" t="s">
        <v>9</v>
      </c>
      <c r="B102" t="s">
        <v>13</v>
      </c>
      <c r="C102">
        <v>24</v>
      </c>
      <c r="D102">
        <v>1</v>
      </c>
      <c r="E102">
        <v>256551.6617</v>
      </c>
    </row>
    <row r="103" spans="1:5" x14ac:dyDescent="0.25">
      <c r="A103" t="s">
        <v>9</v>
      </c>
      <c r="B103" t="s">
        <v>13</v>
      </c>
      <c r="C103">
        <v>24</v>
      </c>
      <c r="D103">
        <v>2</v>
      </c>
      <c r="E103">
        <v>256551.6617</v>
      </c>
    </row>
    <row r="104" spans="1:5" x14ac:dyDescent="0.25">
      <c r="A104" t="s">
        <v>9</v>
      </c>
      <c r="B104" t="s">
        <v>13</v>
      </c>
      <c r="C104">
        <v>24</v>
      </c>
      <c r="D104">
        <v>3</v>
      </c>
      <c r="E104">
        <v>256551.6617</v>
      </c>
    </row>
    <row r="105" spans="1:5" x14ac:dyDescent="0.25">
      <c r="A105" t="s">
        <v>9</v>
      </c>
      <c r="B105" t="s">
        <v>13</v>
      </c>
      <c r="C105">
        <v>24</v>
      </c>
      <c r="D105">
        <v>4</v>
      </c>
      <c r="E105">
        <v>256551.6617</v>
      </c>
    </row>
    <row r="106" spans="1:5" x14ac:dyDescent="0.25">
      <c r="A106" t="s">
        <v>9</v>
      </c>
      <c r="B106" t="s">
        <v>13</v>
      </c>
      <c r="C106">
        <v>24</v>
      </c>
      <c r="D106">
        <v>5</v>
      </c>
      <c r="E106">
        <v>256551.6617</v>
      </c>
    </row>
    <row r="107" spans="1:5" x14ac:dyDescent="0.25">
      <c r="A107" t="s">
        <v>9</v>
      </c>
      <c r="B107" t="s">
        <v>13</v>
      </c>
      <c r="C107">
        <v>24</v>
      </c>
      <c r="D107">
        <v>6</v>
      </c>
      <c r="E107">
        <v>256551.6617</v>
      </c>
    </row>
    <row r="108" spans="1:5" x14ac:dyDescent="0.25">
      <c r="A108" t="s">
        <v>9</v>
      </c>
      <c r="B108" t="s">
        <v>13</v>
      </c>
      <c r="C108">
        <v>24</v>
      </c>
      <c r="D108">
        <v>7</v>
      </c>
      <c r="E108">
        <v>256551.6617</v>
      </c>
    </row>
    <row r="109" spans="1:5" x14ac:dyDescent="0.25">
      <c r="A109" t="s">
        <v>9</v>
      </c>
      <c r="B109" t="s">
        <v>13</v>
      </c>
      <c r="C109">
        <v>24</v>
      </c>
      <c r="D109">
        <v>8</v>
      </c>
      <c r="E109">
        <v>256551.6617</v>
      </c>
    </row>
    <row r="110" spans="1:5" x14ac:dyDescent="0.25">
      <c r="A110" t="s">
        <v>9</v>
      </c>
      <c r="B110" t="s">
        <v>13</v>
      </c>
      <c r="C110">
        <v>24</v>
      </c>
      <c r="D110">
        <v>9</v>
      </c>
      <c r="E110">
        <v>256551.6617</v>
      </c>
    </row>
    <row r="111" spans="1:5" x14ac:dyDescent="0.25">
      <c r="A111" t="s">
        <v>9</v>
      </c>
      <c r="B111" t="s">
        <v>13</v>
      </c>
      <c r="C111">
        <v>24</v>
      </c>
      <c r="D111">
        <v>10</v>
      </c>
      <c r="E111">
        <v>256551.6617</v>
      </c>
    </row>
    <row r="112" spans="1:5" x14ac:dyDescent="0.25">
      <c r="A112" t="s">
        <v>9</v>
      </c>
      <c r="B112" t="s">
        <v>14</v>
      </c>
      <c r="C112">
        <v>0.75</v>
      </c>
      <c r="D112">
        <v>1</v>
      </c>
      <c r="E112">
        <v>272842.0197</v>
      </c>
    </row>
    <row r="113" spans="1:5" x14ac:dyDescent="0.25">
      <c r="A113" t="s">
        <v>9</v>
      </c>
      <c r="B113" t="s">
        <v>14</v>
      </c>
      <c r="C113">
        <v>0.75</v>
      </c>
      <c r="D113">
        <v>2</v>
      </c>
      <c r="E113">
        <v>272842.0197</v>
      </c>
    </row>
    <row r="114" spans="1:5" x14ac:dyDescent="0.25">
      <c r="A114" t="s">
        <v>9</v>
      </c>
      <c r="B114" t="s">
        <v>14</v>
      </c>
      <c r="C114">
        <v>0.75</v>
      </c>
      <c r="D114">
        <v>3</v>
      </c>
      <c r="E114">
        <v>272842.0197</v>
      </c>
    </row>
    <row r="115" spans="1:5" x14ac:dyDescent="0.25">
      <c r="A115" t="s">
        <v>9</v>
      </c>
      <c r="B115" t="s">
        <v>14</v>
      </c>
      <c r="C115">
        <v>0.75</v>
      </c>
      <c r="D115">
        <v>4</v>
      </c>
      <c r="E115">
        <v>272842.0197</v>
      </c>
    </row>
    <row r="116" spans="1:5" x14ac:dyDescent="0.25">
      <c r="A116" t="s">
        <v>9</v>
      </c>
      <c r="B116" t="s">
        <v>14</v>
      </c>
      <c r="C116">
        <v>0.75</v>
      </c>
      <c r="D116">
        <v>5</v>
      </c>
      <c r="E116">
        <v>272842.0197</v>
      </c>
    </row>
    <row r="117" spans="1:5" x14ac:dyDescent="0.25">
      <c r="A117" t="s">
        <v>9</v>
      </c>
      <c r="B117" t="s">
        <v>14</v>
      </c>
      <c r="C117">
        <v>0.75</v>
      </c>
      <c r="D117">
        <v>6</v>
      </c>
      <c r="E117">
        <v>272842.0197</v>
      </c>
    </row>
    <row r="118" spans="1:5" x14ac:dyDescent="0.25">
      <c r="A118" t="s">
        <v>9</v>
      </c>
      <c r="B118" t="s">
        <v>14</v>
      </c>
      <c r="C118">
        <v>0.75</v>
      </c>
      <c r="D118">
        <v>7</v>
      </c>
      <c r="E118">
        <v>272842.0197</v>
      </c>
    </row>
    <row r="119" spans="1:5" x14ac:dyDescent="0.25">
      <c r="A119" t="s">
        <v>9</v>
      </c>
      <c r="B119" t="s">
        <v>14</v>
      </c>
      <c r="C119">
        <v>0.75</v>
      </c>
      <c r="D119">
        <v>8</v>
      </c>
      <c r="E119">
        <v>272842.0197</v>
      </c>
    </row>
    <row r="120" spans="1:5" x14ac:dyDescent="0.25">
      <c r="A120" t="s">
        <v>9</v>
      </c>
      <c r="B120" t="s">
        <v>14</v>
      </c>
      <c r="C120">
        <v>0.75</v>
      </c>
      <c r="D120">
        <v>9</v>
      </c>
      <c r="E120">
        <v>272842.0197</v>
      </c>
    </row>
    <row r="121" spans="1:5" x14ac:dyDescent="0.25">
      <c r="A121" t="s">
        <v>9</v>
      </c>
      <c r="B121" t="s">
        <v>14</v>
      </c>
      <c r="C121">
        <v>0.75</v>
      </c>
      <c r="D121">
        <v>10</v>
      </c>
      <c r="E121">
        <v>272842.0197</v>
      </c>
    </row>
    <row r="122" spans="1:5" x14ac:dyDescent="0.25">
      <c r="A122" t="s">
        <v>9</v>
      </c>
      <c r="B122" t="s">
        <v>14</v>
      </c>
      <c r="C122">
        <v>1</v>
      </c>
      <c r="D122">
        <v>1</v>
      </c>
      <c r="E122">
        <v>272842.0197</v>
      </c>
    </row>
    <row r="123" spans="1:5" x14ac:dyDescent="0.25">
      <c r="A123" t="s">
        <v>9</v>
      </c>
      <c r="B123" t="s">
        <v>14</v>
      </c>
      <c r="C123">
        <v>1</v>
      </c>
      <c r="D123">
        <v>2</v>
      </c>
      <c r="E123">
        <v>272842.0197</v>
      </c>
    </row>
    <row r="124" spans="1:5" x14ac:dyDescent="0.25">
      <c r="A124" t="s">
        <v>9</v>
      </c>
      <c r="B124" t="s">
        <v>14</v>
      </c>
      <c r="C124">
        <v>1</v>
      </c>
      <c r="D124">
        <v>3</v>
      </c>
      <c r="E124">
        <v>272842.0197</v>
      </c>
    </row>
    <row r="125" spans="1:5" x14ac:dyDescent="0.25">
      <c r="A125" t="s">
        <v>9</v>
      </c>
      <c r="B125" t="s">
        <v>14</v>
      </c>
      <c r="C125">
        <v>1</v>
      </c>
      <c r="D125">
        <v>4</v>
      </c>
      <c r="E125">
        <v>272842.0197</v>
      </c>
    </row>
    <row r="126" spans="1:5" x14ac:dyDescent="0.25">
      <c r="A126" t="s">
        <v>9</v>
      </c>
      <c r="B126" t="s">
        <v>14</v>
      </c>
      <c r="C126">
        <v>1</v>
      </c>
      <c r="D126">
        <v>5</v>
      </c>
      <c r="E126">
        <v>272842.0197</v>
      </c>
    </row>
    <row r="127" spans="1:5" x14ac:dyDescent="0.25">
      <c r="A127" t="s">
        <v>9</v>
      </c>
      <c r="B127" t="s">
        <v>14</v>
      </c>
      <c r="C127">
        <v>1</v>
      </c>
      <c r="D127">
        <v>6</v>
      </c>
      <c r="E127">
        <v>272842.0197</v>
      </c>
    </row>
    <row r="128" spans="1:5" x14ac:dyDescent="0.25">
      <c r="A128" t="s">
        <v>9</v>
      </c>
      <c r="B128" t="s">
        <v>14</v>
      </c>
      <c r="C128">
        <v>1</v>
      </c>
      <c r="D128">
        <v>7</v>
      </c>
      <c r="E128">
        <v>272842.0197</v>
      </c>
    </row>
    <row r="129" spans="1:5" x14ac:dyDescent="0.25">
      <c r="A129" t="s">
        <v>9</v>
      </c>
      <c r="B129" t="s">
        <v>14</v>
      </c>
      <c r="C129">
        <v>1</v>
      </c>
      <c r="D129">
        <v>8</v>
      </c>
      <c r="E129">
        <v>272842.0197</v>
      </c>
    </row>
    <row r="130" spans="1:5" x14ac:dyDescent="0.25">
      <c r="A130" t="s">
        <v>9</v>
      </c>
      <c r="B130" t="s">
        <v>14</v>
      </c>
      <c r="C130">
        <v>1</v>
      </c>
      <c r="D130">
        <v>9</v>
      </c>
      <c r="E130">
        <v>272842.0197</v>
      </c>
    </row>
    <row r="131" spans="1:5" x14ac:dyDescent="0.25">
      <c r="A131" t="s">
        <v>9</v>
      </c>
      <c r="B131" t="s">
        <v>14</v>
      </c>
      <c r="C131">
        <v>1</v>
      </c>
      <c r="D131">
        <v>10</v>
      </c>
      <c r="E131">
        <v>272842.0197</v>
      </c>
    </row>
    <row r="132" spans="1:5" x14ac:dyDescent="0.25">
      <c r="A132" t="s">
        <v>9</v>
      </c>
      <c r="B132" t="s">
        <v>14</v>
      </c>
      <c r="C132">
        <v>1.25</v>
      </c>
      <c r="D132">
        <v>1</v>
      </c>
      <c r="E132">
        <v>282380</v>
      </c>
    </row>
    <row r="133" spans="1:5" x14ac:dyDescent="0.25">
      <c r="A133" t="s">
        <v>9</v>
      </c>
      <c r="B133" t="s">
        <v>14</v>
      </c>
      <c r="C133">
        <v>1.25</v>
      </c>
      <c r="D133">
        <v>2</v>
      </c>
      <c r="E133">
        <v>282380</v>
      </c>
    </row>
    <row r="134" spans="1:5" x14ac:dyDescent="0.25">
      <c r="A134" t="s">
        <v>9</v>
      </c>
      <c r="B134" t="s">
        <v>14</v>
      </c>
      <c r="C134">
        <v>1.25</v>
      </c>
      <c r="D134">
        <v>3</v>
      </c>
      <c r="E134">
        <v>282380</v>
      </c>
    </row>
    <row r="135" spans="1:5" x14ac:dyDescent="0.25">
      <c r="A135" t="s">
        <v>9</v>
      </c>
      <c r="B135" t="s">
        <v>14</v>
      </c>
      <c r="C135">
        <v>1.25</v>
      </c>
      <c r="D135">
        <v>4</v>
      </c>
      <c r="E135">
        <v>282380</v>
      </c>
    </row>
    <row r="136" spans="1:5" x14ac:dyDescent="0.25">
      <c r="A136" t="s">
        <v>9</v>
      </c>
      <c r="B136" t="s">
        <v>14</v>
      </c>
      <c r="C136">
        <v>1.25</v>
      </c>
      <c r="D136">
        <v>5</v>
      </c>
      <c r="E136">
        <v>282380</v>
      </c>
    </row>
    <row r="137" spans="1:5" x14ac:dyDescent="0.25">
      <c r="A137" t="s">
        <v>9</v>
      </c>
      <c r="B137" t="s">
        <v>14</v>
      </c>
      <c r="C137">
        <v>1.25</v>
      </c>
      <c r="D137">
        <v>6</v>
      </c>
      <c r="E137">
        <v>282380</v>
      </c>
    </row>
    <row r="138" spans="1:5" x14ac:dyDescent="0.25">
      <c r="A138" t="s">
        <v>9</v>
      </c>
      <c r="B138" t="s">
        <v>14</v>
      </c>
      <c r="C138">
        <v>1.25</v>
      </c>
      <c r="D138">
        <v>7</v>
      </c>
      <c r="E138">
        <v>282380</v>
      </c>
    </row>
    <row r="139" spans="1:5" x14ac:dyDescent="0.25">
      <c r="A139" t="s">
        <v>9</v>
      </c>
      <c r="B139" t="s">
        <v>14</v>
      </c>
      <c r="C139">
        <v>1.25</v>
      </c>
      <c r="D139">
        <v>8</v>
      </c>
      <c r="E139">
        <v>282380</v>
      </c>
    </row>
    <row r="140" spans="1:5" x14ac:dyDescent="0.25">
      <c r="A140" t="s">
        <v>9</v>
      </c>
      <c r="B140" t="s">
        <v>14</v>
      </c>
      <c r="C140">
        <v>1.25</v>
      </c>
      <c r="D140">
        <v>9</v>
      </c>
      <c r="E140">
        <v>282380</v>
      </c>
    </row>
    <row r="141" spans="1:5" x14ac:dyDescent="0.25">
      <c r="A141" t="s">
        <v>9</v>
      </c>
      <c r="B141" t="s">
        <v>14</v>
      </c>
      <c r="C141">
        <v>1.25</v>
      </c>
      <c r="D141">
        <v>10</v>
      </c>
      <c r="E141">
        <v>282380</v>
      </c>
    </row>
    <row r="142" spans="1:5" x14ac:dyDescent="0.25">
      <c r="A142" t="s">
        <v>9</v>
      </c>
      <c r="B142" t="s">
        <v>14</v>
      </c>
      <c r="C142">
        <v>1.5</v>
      </c>
      <c r="D142">
        <v>1</v>
      </c>
      <c r="E142">
        <v>293130</v>
      </c>
    </row>
    <row r="143" spans="1:5" x14ac:dyDescent="0.25">
      <c r="A143" t="s">
        <v>9</v>
      </c>
      <c r="B143" t="s">
        <v>14</v>
      </c>
      <c r="C143">
        <v>1.5</v>
      </c>
      <c r="D143">
        <v>2</v>
      </c>
      <c r="E143">
        <v>293130</v>
      </c>
    </row>
    <row r="144" spans="1:5" x14ac:dyDescent="0.25">
      <c r="A144" t="s">
        <v>9</v>
      </c>
      <c r="B144" t="s">
        <v>14</v>
      </c>
      <c r="C144">
        <v>1.5</v>
      </c>
      <c r="D144">
        <v>3</v>
      </c>
      <c r="E144">
        <v>293130</v>
      </c>
    </row>
    <row r="145" spans="1:5" x14ac:dyDescent="0.25">
      <c r="A145" t="s">
        <v>9</v>
      </c>
      <c r="B145" t="s">
        <v>14</v>
      </c>
      <c r="C145">
        <v>1.5</v>
      </c>
      <c r="D145">
        <v>4</v>
      </c>
      <c r="E145">
        <v>293130</v>
      </c>
    </row>
    <row r="146" spans="1:5" x14ac:dyDescent="0.25">
      <c r="A146" t="s">
        <v>9</v>
      </c>
      <c r="B146" t="s">
        <v>14</v>
      </c>
      <c r="C146">
        <v>1.5</v>
      </c>
      <c r="D146">
        <v>5</v>
      </c>
      <c r="E146">
        <v>293130</v>
      </c>
    </row>
    <row r="147" spans="1:5" x14ac:dyDescent="0.25">
      <c r="A147" t="s">
        <v>9</v>
      </c>
      <c r="B147" t="s">
        <v>14</v>
      </c>
      <c r="C147">
        <v>1.5</v>
      </c>
      <c r="D147">
        <v>6</v>
      </c>
      <c r="E147">
        <v>293130</v>
      </c>
    </row>
    <row r="148" spans="1:5" x14ac:dyDescent="0.25">
      <c r="A148" t="s">
        <v>9</v>
      </c>
      <c r="B148" t="s">
        <v>14</v>
      </c>
      <c r="C148">
        <v>1.5</v>
      </c>
      <c r="D148">
        <v>7</v>
      </c>
      <c r="E148">
        <v>293130</v>
      </c>
    </row>
    <row r="149" spans="1:5" x14ac:dyDescent="0.25">
      <c r="A149" t="s">
        <v>9</v>
      </c>
      <c r="B149" t="s">
        <v>14</v>
      </c>
      <c r="C149">
        <v>1.5</v>
      </c>
      <c r="D149">
        <v>8</v>
      </c>
      <c r="E149">
        <v>293130</v>
      </c>
    </row>
    <row r="150" spans="1:5" x14ac:dyDescent="0.25">
      <c r="A150" t="s">
        <v>9</v>
      </c>
      <c r="B150" t="s">
        <v>14</v>
      </c>
      <c r="C150">
        <v>1.5</v>
      </c>
      <c r="D150">
        <v>9</v>
      </c>
      <c r="E150">
        <v>293130</v>
      </c>
    </row>
    <row r="151" spans="1:5" x14ac:dyDescent="0.25">
      <c r="A151" t="s">
        <v>9</v>
      </c>
      <c r="B151" t="s">
        <v>14</v>
      </c>
      <c r="C151">
        <v>1.5</v>
      </c>
      <c r="D151">
        <v>10</v>
      </c>
      <c r="E151">
        <v>293130</v>
      </c>
    </row>
    <row r="152" spans="1:5" x14ac:dyDescent="0.25">
      <c r="A152" t="s">
        <v>9</v>
      </c>
      <c r="B152" t="s">
        <v>14</v>
      </c>
      <c r="C152">
        <v>1.75</v>
      </c>
      <c r="D152">
        <v>1</v>
      </c>
      <c r="E152">
        <v>300243.511</v>
      </c>
    </row>
    <row r="153" spans="1:5" x14ac:dyDescent="0.25">
      <c r="A153" t="s">
        <v>9</v>
      </c>
      <c r="B153" t="s">
        <v>14</v>
      </c>
      <c r="C153">
        <v>1.75</v>
      </c>
      <c r="D153">
        <v>2</v>
      </c>
      <c r="E153">
        <v>300243.511</v>
      </c>
    </row>
    <row r="154" spans="1:5" x14ac:dyDescent="0.25">
      <c r="A154" t="s">
        <v>9</v>
      </c>
      <c r="B154" t="s">
        <v>14</v>
      </c>
      <c r="C154">
        <v>1.75</v>
      </c>
      <c r="D154">
        <v>3</v>
      </c>
      <c r="E154">
        <v>300243.511</v>
      </c>
    </row>
    <row r="155" spans="1:5" x14ac:dyDescent="0.25">
      <c r="A155" t="s">
        <v>9</v>
      </c>
      <c r="B155" t="s">
        <v>14</v>
      </c>
      <c r="C155">
        <v>1.75</v>
      </c>
      <c r="D155">
        <v>4</v>
      </c>
      <c r="E155">
        <v>300243.511</v>
      </c>
    </row>
    <row r="156" spans="1:5" x14ac:dyDescent="0.25">
      <c r="A156" t="s">
        <v>9</v>
      </c>
      <c r="B156" t="s">
        <v>14</v>
      </c>
      <c r="C156">
        <v>1.75</v>
      </c>
      <c r="D156">
        <v>5</v>
      </c>
      <c r="E156">
        <v>300243.511</v>
      </c>
    </row>
    <row r="157" spans="1:5" x14ac:dyDescent="0.25">
      <c r="A157" t="s">
        <v>9</v>
      </c>
      <c r="B157" t="s">
        <v>14</v>
      </c>
      <c r="C157">
        <v>1.75</v>
      </c>
      <c r="D157">
        <v>6</v>
      </c>
      <c r="E157">
        <v>300243.511</v>
      </c>
    </row>
    <row r="158" spans="1:5" x14ac:dyDescent="0.25">
      <c r="A158" t="s">
        <v>9</v>
      </c>
      <c r="B158" t="s">
        <v>14</v>
      </c>
      <c r="C158">
        <v>1.75</v>
      </c>
      <c r="D158">
        <v>7</v>
      </c>
      <c r="E158">
        <v>300243.511</v>
      </c>
    </row>
    <row r="159" spans="1:5" x14ac:dyDescent="0.25">
      <c r="A159" t="s">
        <v>9</v>
      </c>
      <c r="B159" t="s">
        <v>14</v>
      </c>
      <c r="C159">
        <v>1.75</v>
      </c>
      <c r="D159">
        <v>8</v>
      </c>
      <c r="E159">
        <v>300243.511</v>
      </c>
    </row>
    <row r="160" spans="1:5" x14ac:dyDescent="0.25">
      <c r="A160" t="s">
        <v>9</v>
      </c>
      <c r="B160" t="s">
        <v>14</v>
      </c>
      <c r="C160">
        <v>1.75</v>
      </c>
      <c r="D160">
        <v>9</v>
      </c>
      <c r="E160">
        <v>300243.511</v>
      </c>
    </row>
    <row r="161" spans="1:5" x14ac:dyDescent="0.25">
      <c r="A161" t="s">
        <v>9</v>
      </c>
      <c r="B161" t="s">
        <v>14</v>
      </c>
      <c r="C161">
        <v>1.75</v>
      </c>
      <c r="D161">
        <v>10</v>
      </c>
      <c r="E161">
        <v>300243.511</v>
      </c>
    </row>
    <row r="162" spans="1:5" x14ac:dyDescent="0.25">
      <c r="A162" t="s">
        <v>9</v>
      </c>
      <c r="B162" t="s">
        <v>14</v>
      </c>
      <c r="C162">
        <v>2</v>
      </c>
      <c r="D162">
        <v>1</v>
      </c>
      <c r="E162">
        <v>292872.65649999998</v>
      </c>
    </row>
    <row r="163" spans="1:5" x14ac:dyDescent="0.25">
      <c r="A163" t="s">
        <v>9</v>
      </c>
      <c r="B163" t="s">
        <v>14</v>
      </c>
      <c r="C163">
        <v>2</v>
      </c>
      <c r="D163">
        <v>2</v>
      </c>
      <c r="E163">
        <v>292872.65649999998</v>
      </c>
    </row>
    <row r="164" spans="1:5" x14ac:dyDescent="0.25">
      <c r="A164" t="s">
        <v>9</v>
      </c>
      <c r="B164" t="s">
        <v>14</v>
      </c>
      <c r="C164">
        <v>2</v>
      </c>
      <c r="D164">
        <v>3</v>
      </c>
      <c r="E164">
        <v>292872.65649999998</v>
      </c>
    </row>
    <row r="165" spans="1:5" x14ac:dyDescent="0.25">
      <c r="A165" t="s">
        <v>9</v>
      </c>
      <c r="B165" t="s">
        <v>14</v>
      </c>
      <c r="C165">
        <v>2</v>
      </c>
      <c r="D165">
        <v>4</v>
      </c>
      <c r="E165">
        <v>292872.65649999998</v>
      </c>
    </row>
    <row r="166" spans="1:5" x14ac:dyDescent="0.25">
      <c r="A166" t="s">
        <v>9</v>
      </c>
      <c r="B166" t="s">
        <v>14</v>
      </c>
      <c r="C166">
        <v>2</v>
      </c>
      <c r="D166">
        <v>5</v>
      </c>
      <c r="E166">
        <v>292872.65649999998</v>
      </c>
    </row>
    <row r="167" spans="1:5" x14ac:dyDescent="0.25">
      <c r="A167" t="s">
        <v>9</v>
      </c>
      <c r="B167" t="s">
        <v>14</v>
      </c>
      <c r="C167">
        <v>2</v>
      </c>
      <c r="D167">
        <v>6</v>
      </c>
      <c r="E167">
        <v>292872.65649999998</v>
      </c>
    </row>
    <row r="168" spans="1:5" x14ac:dyDescent="0.25">
      <c r="A168" t="s">
        <v>9</v>
      </c>
      <c r="B168" t="s">
        <v>14</v>
      </c>
      <c r="C168">
        <v>2</v>
      </c>
      <c r="D168">
        <v>7</v>
      </c>
      <c r="E168">
        <v>292872.65649999998</v>
      </c>
    </row>
    <row r="169" spans="1:5" x14ac:dyDescent="0.25">
      <c r="A169" t="s">
        <v>9</v>
      </c>
      <c r="B169" t="s">
        <v>14</v>
      </c>
      <c r="C169">
        <v>2</v>
      </c>
      <c r="D169">
        <v>8</v>
      </c>
      <c r="E169">
        <v>292872.65649999998</v>
      </c>
    </row>
    <row r="170" spans="1:5" x14ac:dyDescent="0.25">
      <c r="A170" t="s">
        <v>9</v>
      </c>
      <c r="B170" t="s">
        <v>14</v>
      </c>
      <c r="C170">
        <v>2</v>
      </c>
      <c r="D170">
        <v>9</v>
      </c>
      <c r="E170">
        <v>292872.65649999998</v>
      </c>
    </row>
    <row r="171" spans="1:5" x14ac:dyDescent="0.25">
      <c r="A171" t="s">
        <v>9</v>
      </c>
      <c r="B171" t="s">
        <v>14</v>
      </c>
      <c r="C171">
        <v>2</v>
      </c>
      <c r="D171">
        <v>10</v>
      </c>
      <c r="E171">
        <v>292872.65649999998</v>
      </c>
    </row>
  </sheetData>
  <sortState xmlns:xlrd2="http://schemas.microsoft.com/office/spreadsheetml/2017/richdata2" ref="A2:E141">
    <sortCondition ref="A2:A141"/>
    <sortCondition ref="B2:B141"/>
    <sortCondition ref="C2:C141"/>
    <sortCondition ref="D2:D14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75CBD-D8E2-4C89-8D03-3591D7AF43B4}">
  <dimension ref="A1:L116"/>
  <sheetViews>
    <sheetView workbookViewId="0">
      <selection activeCell="R26" sqref="R26"/>
    </sheetView>
  </sheetViews>
  <sheetFormatPr defaultRowHeight="15" x14ac:dyDescent="0.25"/>
  <cols>
    <col min="1" max="1" width="13.28515625" customWidth="1"/>
    <col min="2" max="2" width="13.28515625" bestFit="1" customWidth="1"/>
    <col min="3" max="4" width="9.42578125" style="5" bestFit="1" customWidth="1"/>
    <col min="6" max="6" width="35.42578125" bestFit="1" customWidth="1"/>
    <col min="10" max="10" width="35.42578125" bestFit="1" customWidth="1"/>
  </cols>
  <sheetData>
    <row r="1" spans="1:12" x14ac:dyDescent="0.25">
      <c r="A1" s="1" t="s">
        <v>1</v>
      </c>
      <c r="B1" s="1" t="s">
        <v>2</v>
      </c>
      <c r="C1" s="4" t="s">
        <v>17</v>
      </c>
      <c r="D1" s="4" t="s">
        <v>16</v>
      </c>
      <c r="F1" s="8" t="s">
        <v>54</v>
      </c>
      <c r="G1" s="8" t="s">
        <v>16</v>
      </c>
      <c r="H1" s="8" t="s">
        <v>17</v>
      </c>
      <c r="J1" s="8" t="s">
        <v>55</v>
      </c>
      <c r="K1" s="8" t="s">
        <v>16</v>
      </c>
      <c r="L1" s="8" t="s">
        <v>17</v>
      </c>
    </row>
    <row r="2" spans="1:12" x14ac:dyDescent="0.25">
      <c r="A2" t="s">
        <v>10</v>
      </c>
      <c r="B2">
        <v>0</v>
      </c>
      <c r="C2" s="5">
        <f>AVERAGEIFS(PH!E:E,PH!B:B,Comparison!A2,PH!C:C,Comparison!B2)</f>
        <v>277664.03929999995</v>
      </c>
      <c r="D2" s="5">
        <f>AVERAGEIFS(GA!F:F,GA!B:B,Comparison!A2,GA!C:C,Comparison!B2)</f>
        <v>220545.15929000001</v>
      </c>
      <c r="F2" s="6" t="s">
        <v>18</v>
      </c>
      <c r="G2" s="6">
        <v>277664.03929999995</v>
      </c>
      <c r="H2" s="6">
        <v>220545.15929000001</v>
      </c>
      <c r="J2" s="6" t="s">
        <v>18</v>
      </c>
      <c r="K2" s="6">
        <v>276985.39140000002</v>
      </c>
      <c r="L2" s="6">
        <v>223918.11024719998</v>
      </c>
    </row>
    <row r="3" spans="1:12" x14ac:dyDescent="0.25">
      <c r="A3" t="s">
        <v>10</v>
      </c>
      <c r="B3">
        <v>0.25</v>
      </c>
      <c r="C3" s="5">
        <f>AVERAGEIFS(PH!E:E,PH!B:B,Comparison!A3,PH!C:C,Comparison!B3)</f>
        <v>276985.39140000002</v>
      </c>
      <c r="D3" s="5">
        <f>AVERAGEIFS(GA!F:F,GA!B:B,Comparison!A3,GA!C:C,Comparison!B3)</f>
        <v>223918.11024719998</v>
      </c>
      <c r="F3" s="6" t="s">
        <v>19</v>
      </c>
      <c r="G3" s="6">
        <v>3.7645908766857795E-21</v>
      </c>
      <c r="H3" s="6">
        <v>2489080.3801623452</v>
      </c>
      <c r="J3" s="6" t="s">
        <v>19</v>
      </c>
      <c r="K3" s="6">
        <v>0</v>
      </c>
      <c r="L3" s="6">
        <v>9508847.5034989566</v>
      </c>
    </row>
    <row r="4" spans="1:12" x14ac:dyDescent="0.25">
      <c r="A4" t="s">
        <v>10</v>
      </c>
      <c r="B4">
        <v>0.5</v>
      </c>
      <c r="C4" s="5">
        <f>AVERAGEIFS(PH!E:E,PH!B:B,Comparison!A4,PH!C:C,Comparison!B4)</f>
        <v>281376.00980000006</v>
      </c>
      <c r="D4" s="5">
        <f>AVERAGEIFS(GA!F:F,GA!B:B,Comparison!A4,GA!C:C,Comparison!B4)</f>
        <v>224709.1334016</v>
      </c>
      <c r="F4" s="6" t="s">
        <v>20</v>
      </c>
      <c r="G4" s="6">
        <v>10</v>
      </c>
      <c r="H4" s="6">
        <v>10</v>
      </c>
      <c r="J4" s="6" t="s">
        <v>20</v>
      </c>
      <c r="K4" s="6">
        <v>10</v>
      </c>
      <c r="L4" s="6">
        <v>10</v>
      </c>
    </row>
    <row r="5" spans="1:12" x14ac:dyDescent="0.25">
      <c r="A5" t="s">
        <v>10</v>
      </c>
      <c r="B5">
        <v>0.75</v>
      </c>
      <c r="C5" s="5">
        <f>AVERAGEIFS(PH!E:E,PH!B:B,Comparison!A5,PH!C:C,Comparison!B5)</f>
        <v>301375.63120000006</v>
      </c>
      <c r="D5" s="5">
        <f>AVERAGEIFS(GA!F:F,GA!B:B,Comparison!A5,GA!C:C,Comparison!B5)</f>
        <v>238909.16063839998</v>
      </c>
      <c r="F5" s="6" t="s">
        <v>21</v>
      </c>
      <c r="G5" s="6">
        <v>-3.889013331670569E-15</v>
      </c>
      <c r="H5" s="6"/>
      <c r="J5" s="6" t="s">
        <v>21</v>
      </c>
      <c r="K5" s="6" t="e">
        <v>#DIV/0!</v>
      </c>
      <c r="L5" s="6"/>
    </row>
    <row r="6" spans="1:12" x14ac:dyDescent="0.25">
      <c r="A6" t="s">
        <v>10</v>
      </c>
      <c r="B6">
        <v>1</v>
      </c>
      <c r="C6" s="5">
        <f>AVERAGEIFS(PH!E:E,PH!B:B,Comparison!A6,PH!C:C,Comparison!B6)</f>
        <v>295078.02950000006</v>
      </c>
      <c r="D6" s="5">
        <f>AVERAGEIFS(GA!F:F,GA!B:B,Comparison!A6,GA!C:C,Comparison!B6)</f>
        <v>226071.51034959996</v>
      </c>
      <c r="F6" s="6" t="s">
        <v>22</v>
      </c>
      <c r="G6" s="6">
        <v>0</v>
      </c>
      <c r="H6" s="6"/>
      <c r="J6" s="6" t="s">
        <v>22</v>
      </c>
      <c r="K6" s="6">
        <v>0</v>
      </c>
      <c r="L6" s="6"/>
    </row>
    <row r="7" spans="1:12" x14ac:dyDescent="0.25">
      <c r="A7" t="s">
        <v>13</v>
      </c>
      <c r="B7">
        <v>8</v>
      </c>
      <c r="C7" s="5">
        <f>AVERAGEIFS(PH!E:E,PH!B:B,Comparison!A7,PH!C:C,Comparison!B7)</f>
        <v>394770</v>
      </c>
      <c r="D7" s="5">
        <f>AVERAGEIFS(GA!F:F,GA!B:B,Comparison!A7,GA!C:C,Comparison!B7)</f>
        <v>302930.03336000006</v>
      </c>
      <c r="F7" s="6" t="s">
        <v>23</v>
      </c>
      <c r="G7" s="6">
        <v>9</v>
      </c>
      <c r="H7" s="6"/>
      <c r="J7" s="6" t="s">
        <v>23</v>
      </c>
      <c r="K7" s="6">
        <v>9</v>
      </c>
      <c r="L7" s="6"/>
    </row>
    <row r="8" spans="1:12" x14ac:dyDescent="0.25">
      <c r="A8" t="s">
        <v>13</v>
      </c>
      <c r="B8">
        <v>12</v>
      </c>
      <c r="C8" s="5">
        <f>AVERAGEIFS(PH!E:E,PH!B:B,Comparison!A8,PH!C:C,Comparison!B8)</f>
        <v>325690</v>
      </c>
      <c r="D8" s="5">
        <f>AVERAGEIFS(GA!F:F,GA!B:B,Comparison!A8,GA!C:C,Comparison!B8)</f>
        <v>255879.70549999998</v>
      </c>
      <c r="F8" s="6" t="s">
        <v>24</v>
      </c>
      <c r="G8" s="6">
        <v>114.48806687793403</v>
      </c>
      <c r="H8" s="6"/>
      <c r="J8" s="6" t="s">
        <v>24</v>
      </c>
      <c r="K8" s="6">
        <v>54.420546197258822</v>
      </c>
      <c r="L8" s="6"/>
    </row>
    <row r="9" spans="1:12" x14ac:dyDescent="0.25">
      <c r="A9" t="s">
        <v>13</v>
      </c>
      <c r="B9">
        <v>16</v>
      </c>
      <c r="C9" s="5">
        <f>AVERAGEIFS(PH!E:E,PH!B:B,Comparison!A9,PH!C:C,Comparison!B9)</f>
        <v>289174.03929999995</v>
      </c>
      <c r="D9" s="5">
        <f>AVERAGEIFS(GA!F:F,GA!B:B,Comparison!A9,GA!C:C,Comparison!B9)</f>
        <v>229237.31951999999</v>
      </c>
      <c r="F9" s="6" t="s">
        <v>25</v>
      </c>
      <c r="G9" s="6">
        <v>7.5124110225063274E-16</v>
      </c>
      <c r="H9" s="6"/>
      <c r="J9" s="6" t="s">
        <v>25</v>
      </c>
      <c r="K9" s="6">
        <v>6.0059781506515345E-13</v>
      </c>
      <c r="L9" s="6"/>
    </row>
    <row r="10" spans="1:12" x14ac:dyDescent="0.25">
      <c r="A10" t="s">
        <v>13</v>
      </c>
      <c r="B10">
        <v>18</v>
      </c>
      <c r="C10" s="5">
        <f>AVERAGEIFS(PH!E:E,PH!B:B,Comparison!A10,PH!C:C,Comparison!B10)</f>
        <v>277664.03929999995</v>
      </c>
      <c r="D10" s="5">
        <f>AVERAGEIFS(GA!F:F,GA!B:B,Comparison!A10,GA!C:C,Comparison!B10)</f>
        <v>220545.15929000001</v>
      </c>
      <c r="F10" s="6" t="s">
        <v>26</v>
      </c>
      <c r="G10" s="6">
        <v>1.8331129326562374</v>
      </c>
      <c r="H10" s="6"/>
      <c r="J10" s="6" t="s">
        <v>26</v>
      </c>
      <c r="K10" s="6">
        <v>1.8331129326562374</v>
      </c>
      <c r="L10" s="6"/>
    </row>
    <row r="11" spans="1:12" x14ac:dyDescent="0.25">
      <c r="A11" t="s">
        <v>13</v>
      </c>
      <c r="B11">
        <v>20</v>
      </c>
      <c r="C11" s="5">
        <f>AVERAGEIFS(PH!E:E,PH!B:B,Comparison!A11,PH!C:C,Comparison!B11)</f>
        <v>266568.02950000006</v>
      </c>
      <c r="D11" s="5">
        <f>AVERAGEIFS(GA!F:F,GA!B:B,Comparison!A11,GA!C:C,Comparison!B11)</f>
        <v>212966.24695999999</v>
      </c>
      <c r="F11" s="6" t="s">
        <v>27</v>
      </c>
      <c r="G11" s="6">
        <v>1.5024822045012655E-15</v>
      </c>
      <c r="H11" s="6"/>
      <c r="J11" s="6" t="s">
        <v>27</v>
      </c>
      <c r="K11" s="6">
        <v>1.2011956301303069E-12</v>
      </c>
      <c r="L11" s="6"/>
    </row>
    <row r="12" spans="1:12" ht="15.75" thickBot="1" x14ac:dyDescent="0.3">
      <c r="A12" t="s">
        <v>13</v>
      </c>
      <c r="B12">
        <v>24</v>
      </c>
      <c r="C12" s="5">
        <f>AVERAGEIFS(PH!E:E,PH!B:B,Comparison!A12,PH!C:C,Comparison!B12)</f>
        <v>256551.6617</v>
      </c>
      <c r="D12" s="5">
        <f>AVERAGEIFS(GA!F:F,GA!B:B,Comparison!A12,GA!C:C,Comparison!B12)</f>
        <v>204033.69102999996</v>
      </c>
      <c r="F12" s="7" t="s">
        <v>28</v>
      </c>
      <c r="G12" s="7">
        <v>2.2621571627982053</v>
      </c>
      <c r="H12" s="7"/>
      <c r="J12" s="7" t="s">
        <v>28</v>
      </c>
      <c r="K12" s="7">
        <v>2.2621571627982053</v>
      </c>
      <c r="L12" s="7"/>
    </row>
    <row r="13" spans="1:12" ht="15.75" thickBot="1" x14ac:dyDescent="0.3">
      <c r="A13" t="s">
        <v>14</v>
      </c>
      <c r="B13">
        <v>0.75</v>
      </c>
      <c r="C13" s="5">
        <f>AVERAGEIFS(PH!E:E,PH!B:B,Comparison!A13,PH!C:C,Comparison!B13)</f>
        <v>272842.0197</v>
      </c>
      <c r="D13" s="5">
        <f>AVERAGEIFS(GA!F:F,GA!B:B,Comparison!A13,GA!C:C,Comparison!B13)</f>
        <v>219122.4163176</v>
      </c>
    </row>
    <row r="14" spans="1:12" x14ac:dyDescent="0.25">
      <c r="A14" t="s">
        <v>14</v>
      </c>
      <c r="B14">
        <v>1</v>
      </c>
      <c r="C14" s="5">
        <f>AVERAGEIFS(PH!E:E,PH!B:B,Comparison!A14,PH!C:C,Comparison!B14)</f>
        <v>272842.0197</v>
      </c>
      <c r="D14" s="5">
        <f>AVERAGEIFS(GA!F:F,GA!B:B,Comparison!A14,GA!C:C,Comparison!B14)</f>
        <v>217751.7231112</v>
      </c>
      <c r="F14" s="8" t="s">
        <v>53</v>
      </c>
      <c r="G14" s="8" t="s">
        <v>17</v>
      </c>
      <c r="H14" s="8" t="s">
        <v>16</v>
      </c>
      <c r="J14" s="8" t="s">
        <v>52</v>
      </c>
      <c r="K14" s="8" t="s">
        <v>17</v>
      </c>
      <c r="L14" s="8" t="s">
        <v>16</v>
      </c>
    </row>
    <row r="15" spans="1:12" x14ac:dyDescent="0.25">
      <c r="A15" t="s">
        <v>14</v>
      </c>
      <c r="B15">
        <v>1.25</v>
      </c>
      <c r="C15" s="5">
        <f>AVERAGEIFS(PH!E:E,PH!B:B,Comparison!A15,PH!C:C,Comparison!B15)</f>
        <v>282380</v>
      </c>
      <c r="D15" s="5">
        <f>AVERAGEIFS(GA!F:F,GA!B:B,Comparison!A15,GA!C:C,Comparison!B15)</f>
        <v>233701.36079999999</v>
      </c>
      <c r="F15" s="6" t="s">
        <v>29</v>
      </c>
      <c r="G15" s="6">
        <v>281376.00980000006</v>
      </c>
      <c r="H15" s="6">
        <v>224709.1334016</v>
      </c>
      <c r="J15" s="6" t="s">
        <v>29</v>
      </c>
      <c r="K15" s="6">
        <v>301375.63120000006</v>
      </c>
      <c r="L15" s="6">
        <v>238909.16063839998</v>
      </c>
    </row>
    <row r="16" spans="1:12" x14ac:dyDescent="0.25">
      <c r="A16" t="s">
        <v>14</v>
      </c>
      <c r="B16">
        <v>1.5</v>
      </c>
      <c r="C16" s="5">
        <f>AVERAGEIFS(PH!E:E,PH!B:B,Comparison!A16,PH!C:C,Comparison!B16)</f>
        <v>293130</v>
      </c>
      <c r="D16" s="5">
        <f>AVERAGEIFS(GA!F:F,GA!B:B,Comparison!A16,GA!C:C,Comparison!B16)</f>
        <v>236575.13994999998</v>
      </c>
      <c r="F16" s="6" t="s">
        <v>30</v>
      </c>
      <c r="G16" s="6">
        <v>3.7645908766857795E-21</v>
      </c>
      <c r="H16" s="6">
        <v>4934452.5966716101</v>
      </c>
      <c r="J16" s="6" t="s">
        <v>30</v>
      </c>
      <c r="K16" s="6">
        <v>3.7645908766857795E-21</v>
      </c>
      <c r="L16" s="6">
        <v>4987512.2956962241</v>
      </c>
    </row>
    <row r="17" spans="1:12" x14ac:dyDescent="0.25">
      <c r="A17" t="s">
        <v>14</v>
      </c>
      <c r="B17">
        <v>1.75</v>
      </c>
      <c r="C17" s="5">
        <f>AVERAGEIFS(PH!E:E,PH!B:B,Comparison!A17,PH!C:C,Comparison!B17)</f>
        <v>300243.511</v>
      </c>
      <c r="D17" s="5">
        <f>AVERAGEIFS(GA!F:F,GA!B:B,Comparison!A17,GA!C:C,Comparison!B17)</f>
        <v>239532.78156000003</v>
      </c>
      <c r="F17" s="6" t="s">
        <v>31</v>
      </c>
      <c r="G17" s="6">
        <v>10</v>
      </c>
      <c r="H17" s="6">
        <v>10</v>
      </c>
      <c r="J17" s="6" t="s">
        <v>31</v>
      </c>
      <c r="K17" s="6">
        <v>10</v>
      </c>
      <c r="L17" s="6">
        <v>10</v>
      </c>
    </row>
    <row r="18" spans="1:12" x14ac:dyDescent="0.25">
      <c r="A18" t="s">
        <v>14</v>
      </c>
      <c r="B18">
        <v>2</v>
      </c>
      <c r="C18" s="5">
        <f>AVERAGEIFS(PH!E:E,PH!B:B,Comparison!A18,PH!C:C,Comparison!B18)</f>
        <v>292872.65649999998</v>
      </c>
      <c r="D18" s="5">
        <f>AVERAGEIFS(GA!F:F,GA!B:B,Comparison!A18,GA!C:C,Comparison!B18)</f>
        <v>241153.45639000001</v>
      </c>
      <c r="F18" s="6" t="s">
        <v>32</v>
      </c>
      <c r="G18" s="6">
        <v>0</v>
      </c>
      <c r="H18" s="6"/>
      <c r="J18" s="6" t="s">
        <v>32</v>
      </c>
      <c r="K18" s="6">
        <v>-1.2363157922497084E-14</v>
      </c>
      <c r="L18" s="6"/>
    </row>
    <row r="19" spans="1:12" x14ac:dyDescent="0.25">
      <c r="F19" s="6" t="s">
        <v>33</v>
      </c>
      <c r="G19" s="6">
        <v>0</v>
      </c>
      <c r="H19" s="6"/>
      <c r="J19" s="6" t="s">
        <v>33</v>
      </c>
      <c r="K19" s="6">
        <v>0</v>
      </c>
      <c r="L19" s="6"/>
    </row>
    <row r="20" spans="1:12" x14ac:dyDescent="0.25">
      <c r="F20" s="6" t="s">
        <v>34</v>
      </c>
      <c r="G20" s="6">
        <v>9</v>
      </c>
      <c r="H20" s="6"/>
      <c r="J20" s="6" t="s">
        <v>34</v>
      </c>
      <c r="K20" s="6">
        <v>9</v>
      </c>
      <c r="L20" s="6"/>
    </row>
    <row r="21" spans="1:12" x14ac:dyDescent="0.25">
      <c r="F21" s="6" t="s">
        <v>35</v>
      </c>
      <c r="G21" s="6">
        <v>80.669577696504092</v>
      </c>
      <c r="H21" s="6"/>
      <c r="J21" s="6" t="s">
        <v>35</v>
      </c>
      <c r="K21" s="6">
        <v>88.451454475748619</v>
      </c>
      <c r="L21" s="6"/>
    </row>
    <row r="22" spans="1:12" x14ac:dyDescent="0.25">
      <c r="F22" s="6" t="s">
        <v>36</v>
      </c>
      <c r="G22" s="6">
        <v>1.7498359491307185E-14</v>
      </c>
      <c r="H22" s="6"/>
      <c r="J22" s="6" t="s">
        <v>36</v>
      </c>
      <c r="K22" s="6">
        <v>7.646336264680805E-15</v>
      </c>
      <c r="L22" s="6"/>
    </row>
    <row r="23" spans="1:12" x14ac:dyDescent="0.25">
      <c r="F23" s="6" t="s">
        <v>37</v>
      </c>
      <c r="G23" s="6">
        <v>1.8331129326562374</v>
      </c>
      <c r="H23" s="6"/>
      <c r="J23" s="6" t="s">
        <v>37</v>
      </c>
      <c r="K23" s="6">
        <v>1.8331129326562374</v>
      </c>
      <c r="L23" s="6"/>
    </row>
    <row r="24" spans="1:12" x14ac:dyDescent="0.25">
      <c r="F24" s="6" t="s">
        <v>38</v>
      </c>
      <c r="G24" s="6">
        <v>3.499671898261437E-14</v>
      </c>
      <c r="H24" s="6"/>
      <c r="J24" s="6" t="s">
        <v>38</v>
      </c>
      <c r="K24" s="6">
        <v>1.529267252936161E-14</v>
      </c>
      <c r="L24" s="6"/>
    </row>
    <row r="25" spans="1:12" ht="15.75" thickBot="1" x14ac:dyDescent="0.3">
      <c r="F25" s="7" t="s">
        <v>39</v>
      </c>
      <c r="G25" s="7">
        <v>2.2621571627982053</v>
      </c>
      <c r="H25" s="7"/>
      <c r="J25" s="7" t="s">
        <v>39</v>
      </c>
      <c r="K25" s="7">
        <v>2.2621571627982053</v>
      </c>
      <c r="L25" s="7"/>
    </row>
    <row r="26" spans="1:12" ht="15.75" thickBot="1" x14ac:dyDescent="0.3"/>
    <row r="27" spans="1:12" x14ac:dyDescent="0.25">
      <c r="F27" s="8" t="s">
        <v>51</v>
      </c>
      <c r="G27" s="8" t="s">
        <v>17</v>
      </c>
      <c r="H27" s="8" t="s">
        <v>16</v>
      </c>
    </row>
    <row r="28" spans="1:12" x14ac:dyDescent="0.25">
      <c r="F28" s="6" t="s">
        <v>29</v>
      </c>
      <c r="G28" s="6">
        <v>295078.02950000006</v>
      </c>
      <c r="H28" s="6">
        <v>226071.51034959996</v>
      </c>
    </row>
    <row r="29" spans="1:12" x14ac:dyDescent="0.25">
      <c r="F29" s="6" t="s">
        <v>30</v>
      </c>
      <c r="G29" s="6">
        <v>3.7645908766857795E-21</v>
      </c>
      <c r="H29" s="6">
        <v>2629771.9756674352</v>
      </c>
    </row>
    <row r="30" spans="1:12" x14ac:dyDescent="0.25">
      <c r="F30" s="6" t="s">
        <v>31</v>
      </c>
      <c r="G30" s="6">
        <v>10</v>
      </c>
      <c r="H30" s="6">
        <v>10</v>
      </c>
    </row>
    <row r="31" spans="1:12" x14ac:dyDescent="0.25">
      <c r="F31" s="6" t="s">
        <v>32</v>
      </c>
      <c r="G31" s="6">
        <v>-2.4593095874645689E-14</v>
      </c>
      <c r="H31" s="6"/>
    </row>
    <row r="32" spans="1:12" x14ac:dyDescent="0.25">
      <c r="F32" s="6" t="s">
        <v>33</v>
      </c>
      <c r="G32" s="6">
        <v>0</v>
      </c>
      <c r="H32" s="6"/>
    </row>
    <row r="33" spans="6:12" x14ac:dyDescent="0.25">
      <c r="F33" s="6" t="s">
        <v>34</v>
      </c>
      <c r="G33" s="6">
        <v>9</v>
      </c>
      <c r="H33" s="6"/>
    </row>
    <row r="34" spans="6:12" x14ac:dyDescent="0.25">
      <c r="F34" s="6" t="s">
        <v>35</v>
      </c>
      <c r="G34" s="6">
        <v>134.56467742257996</v>
      </c>
      <c r="H34" s="6"/>
    </row>
    <row r="35" spans="6:12" x14ac:dyDescent="0.25">
      <c r="F35" s="6" t="s">
        <v>36</v>
      </c>
      <c r="G35" s="6">
        <v>1.7562176267775734E-16</v>
      </c>
      <c r="H35" s="6"/>
    </row>
    <row r="36" spans="6:12" x14ac:dyDescent="0.25">
      <c r="F36" s="6" t="s">
        <v>37</v>
      </c>
      <c r="G36" s="6">
        <v>1.8331129326562374</v>
      </c>
      <c r="H36" s="6"/>
    </row>
    <row r="37" spans="6:12" x14ac:dyDescent="0.25">
      <c r="F37" s="6" t="s">
        <v>38</v>
      </c>
      <c r="G37" s="6">
        <v>3.5124352535551468E-16</v>
      </c>
      <c r="H37" s="6"/>
    </row>
    <row r="38" spans="6:12" ht="15.75" thickBot="1" x14ac:dyDescent="0.3">
      <c r="F38" s="7" t="s">
        <v>39</v>
      </c>
      <c r="G38" s="7">
        <v>2.2621571627982053</v>
      </c>
      <c r="H38" s="7"/>
    </row>
    <row r="39" spans="6:12" ht="15.75" thickBot="1" x14ac:dyDescent="0.3"/>
    <row r="40" spans="6:12" x14ac:dyDescent="0.25">
      <c r="F40" s="8" t="s">
        <v>40</v>
      </c>
      <c r="G40" s="8" t="s">
        <v>17</v>
      </c>
      <c r="H40" s="8" t="s">
        <v>16</v>
      </c>
      <c r="J40" s="8" t="s">
        <v>41</v>
      </c>
      <c r="K40" s="8" t="s">
        <v>17</v>
      </c>
      <c r="L40" s="8" t="s">
        <v>16</v>
      </c>
    </row>
    <row r="41" spans="6:12" x14ac:dyDescent="0.25">
      <c r="F41" s="6" t="s">
        <v>29</v>
      </c>
      <c r="G41" s="6">
        <v>394770</v>
      </c>
      <c r="H41" s="6">
        <v>302930.03336000006</v>
      </c>
      <c r="J41" s="6" t="s">
        <v>29</v>
      </c>
      <c r="K41" s="6">
        <v>325690</v>
      </c>
      <c r="L41" s="6">
        <v>255879.70549999998</v>
      </c>
    </row>
    <row r="42" spans="6:12" x14ac:dyDescent="0.25">
      <c r="F42" s="6" t="s">
        <v>30</v>
      </c>
      <c r="G42" s="6">
        <v>0</v>
      </c>
      <c r="H42" s="6">
        <v>3955106.4447623757</v>
      </c>
      <c r="J42" s="6" t="s">
        <v>30</v>
      </c>
      <c r="K42" s="6">
        <v>0</v>
      </c>
      <c r="L42" s="6">
        <v>5859852.9357485268</v>
      </c>
    </row>
    <row r="43" spans="6:12" x14ac:dyDescent="0.25">
      <c r="F43" s="6" t="s">
        <v>31</v>
      </c>
      <c r="G43" s="6">
        <v>10</v>
      </c>
      <c r="H43" s="6">
        <v>10</v>
      </c>
      <c r="J43" s="6" t="s">
        <v>31</v>
      </c>
      <c r="K43" s="6">
        <v>10</v>
      </c>
      <c r="L43" s="6">
        <v>10</v>
      </c>
    </row>
    <row r="44" spans="6:12" x14ac:dyDescent="0.25">
      <c r="F44" s="6" t="s">
        <v>32</v>
      </c>
      <c r="G44" s="6" t="e">
        <v>#DIV/0!</v>
      </c>
      <c r="H44" s="6"/>
      <c r="J44" s="6" t="s">
        <v>32</v>
      </c>
      <c r="K44" s="6" t="e">
        <v>#DIV/0!</v>
      </c>
      <c r="L44" s="6"/>
    </row>
    <row r="45" spans="6:12" x14ac:dyDescent="0.25">
      <c r="F45" s="6" t="s">
        <v>33</v>
      </c>
      <c r="G45" s="6">
        <v>0</v>
      </c>
      <c r="H45" s="6"/>
      <c r="J45" s="6" t="s">
        <v>33</v>
      </c>
      <c r="K45" s="6">
        <v>0</v>
      </c>
      <c r="L45" s="6"/>
    </row>
    <row r="46" spans="6:12" x14ac:dyDescent="0.25">
      <c r="F46" s="6" t="s">
        <v>34</v>
      </c>
      <c r="G46" s="6">
        <v>9</v>
      </c>
      <c r="H46" s="6"/>
      <c r="J46" s="6" t="s">
        <v>34</v>
      </c>
      <c r="K46" s="6">
        <v>9</v>
      </c>
      <c r="L46" s="6"/>
    </row>
    <row r="47" spans="6:12" x14ac:dyDescent="0.25">
      <c r="F47" s="6" t="s">
        <v>35</v>
      </c>
      <c r="G47" s="6">
        <v>146.03354541194656</v>
      </c>
      <c r="H47" s="6"/>
      <c r="J47" s="6" t="s">
        <v>35</v>
      </c>
      <c r="K47" s="6">
        <v>91.196067585529036</v>
      </c>
      <c r="L47" s="6"/>
    </row>
    <row r="48" spans="6:12" x14ac:dyDescent="0.25">
      <c r="F48" s="6" t="s">
        <v>36</v>
      </c>
      <c r="G48" s="6">
        <v>8.4142911644662147E-17</v>
      </c>
      <c r="H48" s="6"/>
      <c r="J48" s="6" t="s">
        <v>36</v>
      </c>
      <c r="K48" s="6">
        <v>5.8094394624798893E-15</v>
      </c>
      <c r="L48" s="6"/>
    </row>
    <row r="49" spans="6:12" x14ac:dyDescent="0.25">
      <c r="F49" s="6" t="s">
        <v>37</v>
      </c>
      <c r="G49" s="6">
        <v>1.8331129326562374</v>
      </c>
      <c r="H49" s="6"/>
      <c r="J49" s="6" t="s">
        <v>37</v>
      </c>
      <c r="K49" s="6">
        <v>1.8331129326562374</v>
      </c>
      <c r="L49" s="6"/>
    </row>
    <row r="50" spans="6:12" x14ac:dyDescent="0.25">
      <c r="F50" s="6" t="s">
        <v>38</v>
      </c>
      <c r="G50" s="6">
        <v>1.6828582328932429E-16</v>
      </c>
      <c r="H50" s="6"/>
      <c r="J50" s="6" t="s">
        <v>38</v>
      </c>
      <c r="K50" s="6">
        <v>1.1618878924959779E-14</v>
      </c>
      <c r="L50" s="6"/>
    </row>
    <row r="51" spans="6:12" ht="15.75" thickBot="1" x14ac:dyDescent="0.3">
      <c r="F51" s="7" t="s">
        <v>39</v>
      </c>
      <c r="G51" s="7">
        <v>2.2621571627982053</v>
      </c>
      <c r="H51" s="7"/>
      <c r="J51" s="7" t="s">
        <v>39</v>
      </c>
      <c r="K51" s="7">
        <v>2.2621571627982053</v>
      </c>
      <c r="L51" s="7"/>
    </row>
    <row r="52" spans="6:12" ht="15.75" thickBot="1" x14ac:dyDescent="0.3"/>
    <row r="53" spans="6:12" x14ac:dyDescent="0.25">
      <c r="F53" s="8" t="s">
        <v>43</v>
      </c>
      <c r="G53" s="8" t="s">
        <v>17</v>
      </c>
      <c r="H53" s="8" t="s">
        <v>16</v>
      </c>
      <c r="J53" s="8" t="s">
        <v>42</v>
      </c>
      <c r="K53" s="8" t="s">
        <v>17</v>
      </c>
      <c r="L53" s="8" t="s">
        <v>16</v>
      </c>
    </row>
    <row r="54" spans="6:12" x14ac:dyDescent="0.25">
      <c r="F54" s="6" t="s">
        <v>29</v>
      </c>
      <c r="G54" s="6">
        <v>289174.03929999995</v>
      </c>
      <c r="H54" s="6">
        <v>229237.31951999999</v>
      </c>
      <c r="J54" s="6" t="s">
        <v>29</v>
      </c>
      <c r="K54" s="6">
        <v>277664.03929999995</v>
      </c>
      <c r="L54" s="6">
        <v>220545.15929000001</v>
      </c>
    </row>
    <row r="55" spans="6:12" x14ac:dyDescent="0.25">
      <c r="F55" s="6" t="s">
        <v>30</v>
      </c>
      <c r="G55" s="6">
        <v>3.7645908766857795E-21</v>
      </c>
      <c r="H55" s="6">
        <v>990706.56805406534</v>
      </c>
      <c r="J55" s="6" t="s">
        <v>30</v>
      </c>
      <c r="K55" s="6">
        <v>3.7645908766857795E-21</v>
      </c>
      <c r="L55" s="6">
        <v>2489080.3801623452</v>
      </c>
    </row>
    <row r="56" spans="6:12" x14ac:dyDescent="0.25">
      <c r="F56" s="6" t="s">
        <v>31</v>
      </c>
      <c r="G56" s="6">
        <v>10</v>
      </c>
      <c r="H56" s="6">
        <v>10</v>
      </c>
      <c r="J56" s="6" t="s">
        <v>31</v>
      </c>
      <c r="K56" s="6">
        <v>10</v>
      </c>
      <c r="L56" s="6">
        <v>10</v>
      </c>
    </row>
    <row r="57" spans="6:12" x14ac:dyDescent="0.25">
      <c r="F57" s="6" t="s">
        <v>32</v>
      </c>
      <c r="G57" s="6">
        <v>1.2328673952270023E-14</v>
      </c>
      <c r="H57" s="6"/>
      <c r="J57" s="6" t="s">
        <v>32</v>
      </c>
      <c r="K57" s="6">
        <v>-3.889013331670569E-15</v>
      </c>
      <c r="L57" s="6"/>
    </row>
    <row r="58" spans="6:12" x14ac:dyDescent="0.25">
      <c r="F58" s="6" t="s">
        <v>33</v>
      </c>
      <c r="G58" s="6">
        <v>0</v>
      </c>
      <c r="H58" s="6"/>
      <c r="J58" s="6" t="s">
        <v>33</v>
      </c>
      <c r="K58" s="6">
        <v>0</v>
      </c>
      <c r="L58" s="6"/>
    </row>
    <row r="59" spans="6:12" x14ac:dyDescent="0.25">
      <c r="F59" s="6" t="s">
        <v>34</v>
      </c>
      <c r="G59" s="6">
        <v>9</v>
      </c>
      <c r="H59" s="6"/>
      <c r="J59" s="6" t="s">
        <v>34</v>
      </c>
      <c r="K59" s="6">
        <v>9</v>
      </c>
      <c r="L59" s="6"/>
    </row>
    <row r="60" spans="6:12" x14ac:dyDescent="0.25">
      <c r="F60" s="6" t="s">
        <v>35</v>
      </c>
      <c r="G60" s="6">
        <v>190.42345913065864</v>
      </c>
      <c r="H60" s="6"/>
      <c r="J60" s="6" t="s">
        <v>35</v>
      </c>
      <c r="K60" s="6">
        <v>114.48806687793403</v>
      </c>
      <c r="L60" s="6"/>
    </row>
    <row r="61" spans="6:12" x14ac:dyDescent="0.25">
      <c r="F61" s="6" t="s">
        <v>36</v>
      </c>
      <c r="G61" s="6">
        <v>7.7253092299018107E-18</v>
      </c>
      <c r="H61" s="6"/>
      <c r="J61" s="6" t="s">
        <v>36</v>
      </c>
      <c r="K61" s="6">
        <v>7.5124110225063274E-16</v>
      </c>
      <c r="L61" s="6"/>
    </row>
    <row r="62" spans="6:12" x14ac:dyDescent="0.25">
      <c r="F62" s="6" t="s">
        <v>37</v>
      </c>
      <c r="G62" s="6">
        <v>1.8331129326562374</v>
      </c>
      <c r="H62" s="6"/>
      <c r="J62" s="6" t="s">
        <v>37</v>
      </c>
      <c r="K62" s="6">
        <v>1.8331129326562374</v>
      </c>
      <c r="L62" s="6"/>
    </row>
    <row r="63" spans="6:12" x14ac:dyDescent="0.25">
      <c r="F63" s="6" t="s">
        <v>38</v>
      </c>
      <c r="G63" s="6">
        <v>1.5450618459803621E-17</v>
      </c>
      <c r="H63" s="6"/>
      <c r="J63" s="6" t="s">
        <v>38</v>
      </c>
      <c r="K63" s="6">
        <v>1.5024822045012655E-15</v>
      </c>
      <c r="L63" s="6"/>
    </row>
    <row r="64" spans="6:12" ht="15.75" thickBot="1" x14ac:dyDescent="0.3">
      <c r="F64" s="7" t="s">
        <v>39</v>
      </c>
      <c r="G64" s="7">
        <v>2.2621571627982053</v>
      </c>
      <c r="H64" s="7"/>
      <c r="J64" s="7" t="s">
        <v>39</v>
      </c>
      <c r="K64" s="7">
        <v>2.2621571627982053</v>
      </c>
      <c r="L64" s="7"/>
    </row>
    <row r="65" spans="6:12" ht="15.75" thickBot="1" x14ac:dyDescent="0.3"/>
    <row r="66" spans="6:12" x14ac:dyDescent="0.25">
      <c r="F66" s="8" t="s">
        <v>44</v>
      </c>
      <c r="G66" s="8" t="s">
        <v>17</v>
      </c>
      <c r="H66" s="8" t="s">
        <v>16</v>
      </c>
      <c r="J66" s="8" t="s">
        <v>42</v>
      </c>
      <c r="K66" s="8" t="s">
        <v>17</v>
      </c>
      <c r="L66" s="8" t="s">
        <v>16</v>
      </c>
    </row>
    <row r="67" spans="6:12" x14ac:dyDescent="0.25">
      <c r="F67" s="6" t="s">
        <v>29</v>
      </c>
      <c r="G67" s="6">
        <v>266568.02950000006</v>
      </c>
      <c r="H67" s="6">
        <v>212966.24695999999</v>
      </c>
      <c r="J67" s="6" t="s">
        <v>29</v>
      </c>
      <c r="K67" s="6">
        <v>256551.6617</v>
      </c>
      <c r="L67" s="6">
        <v>204033.69102999996</v>
      </c>
    </row>
    <row r="68" spans="6:12" x14ac:dyDescent="0.25">
      <c r="F68" s="6" t="s">
        <v>30</v>
      </c>
      <c r="G68" s="6">
        <v>3.7645908766857795E-21</v>
      </c>
      <c r="H68" s="6">
        <v>10090262.819840578</v>
      </c>
      <c r="J68" s="6" t="s">
        <v>30</v>
      </c>
      <c r="K68" s="6">
        <v>0</v>
      </c>
      <c r="L68" s="6">
        <v>7622414.2069023997</v>
      </c>
    </row>
    <row r="69" spans="6:12" x14ac:dyDescent="0.25">
      <c r="F69" s="6" t="s">
        <v>31</v>
      </c>
      <c r="G69" s="6">
        <v>10</v>
      </c>
      <c r="H69" s="6">
        <v>10</v>
      </c>
      <c r="J69" s="6" t="s">
        <v>31</v>
      </c>
      <c r="K69" s="6">
        <v>10</v>
      </c>
      <c r="L69" s="6">
        <v>10</v>
      </c>
    </row>
    <row r="70" spans="6:12" x14ac:dyDescent="0.25">
      <c r="F70" s="6" t="s">
        <v>32</v>
      </c>
      <c r="G70" s="6">
        <v>-3.8631151106546832E-15</v>
      </c>
      <c r="H70" s="6"/>
      <c r="J70" s="6" t="s">
        <v>32</v>
      </c>
      <c r="K70" s="6" t="e">
        <v>#DIV/0!</v>
      </c>
      <c r="L70" s="6"/>
    </row>
    <row r="71" spans="6:12" x14ac:dyDescent="0.25">
      <c r="F71" s="6" t="s">
        <v>33</v>
      </c>
      <c r="G71" s="6">
        <v>0</v>
      </c>
      <c r="H71" s="6"/>
      <c r="J71" s="6" t="s">
        <v>33</v>
      </c>
      <c r="K71" s="6">
        <v>0</v>
      </c>
      <c r="L71" s="6"/>
    </row>
    <row r="72" spans="6:12" x14ac:dyDescent="0.25">
      <c r="F72" s="6" t="s">
        <v>34</v>
      </c>
      <c r="G72" s="6">
        <v>9</v>
      </c>
      <c r="H72" s="6"/>
      <c r="J72" s="6" t="s">
        <v>34</v>
      </c>
      <c r="K72" s="6">
        <v>9</v>
      </c>
      <c r="L72" s="6"/>
    </row>
    <row r="73" spans="6:12" x14ac:dyDescent="0.25">
      <c r="F73" s="6" t="s">
        <v>35</v>
      </c>
      <c r="G73" s="6">
        <v>53.361495593199024</v>
      </c>
      <c r="H73" s="6"/>
      <c r="J73" s="6" t="s">
        <v>35</v>
      </c>
      <c r="K73" s="6">
        <v>60.153605576822891</v>
      </c>
      <c r="L73" s="6"/>
    </row>
    <row r="74" spans="6:12" x14ac:dyDescent="0.25">
      <c r="F74" s="6" t="s">
        <v>36</v>
      </c>
      <c r="G74" s="6">
        <v>7.164437513732669E-13</v>
      </c>
      <c r="H74" s="6"/>
      <c r="J74" s="6" t="s">
        <v>36</v>
      </c>
      <c r="K74" s="6">
        <v>2.4438372358128689E-13</v>
      </c>
      <c r="L74" s="6"/>
    </row>
    <row r="75" spans="6:12" x14ac:dyDescent="0.25">
      <c r="F75" s="6" t="s">
        <v>37</v>
      </c>
      <c r="G75" s="6">
        <v>1.8331129326562374</v>
      </c>
      <c r="H75" s="6"/>
      <c r="J75" s="6" t="s">
        <v>37</v>
      </c>
      <c r="K75" s="6">
        <v>1.8331129326562374</v>
      </c>
      <c r="L75" s="6"/>
    </row>
    <row r="76" spans="6:12" x14ac:dyDescent="0.25">
      <c r="F76" s="6" t="s">
        <v>38</v>
      </c>
      <c r="G76" s="6">
        <v>1.4328875027465338E-12</v>
      </c>
      <c r="H76" s="6"/>
      <c r="J76" s="6" t="s">
        <v>38</v>
      </c>
      <c r="K76" s="6">
        <v>4.8876744716257379E-13</v>
      </c>
      <c r="L76" s="6"/>
    </row>
    <row r="77" spans="6:12" ht="15.75" thickBot="1" x14ac:dyDescent="0.3">
      <c r="F77" s="7" t="s">
        <v>39</v>
      </c>
      <c r="G77" s="7">
        <v>2.2621571627982053</v>
      </c>
      <c r="H77" s="7"/>
      <c r="J77" s="7" t="s">
        <v>39</v>
      </c>
      <c r="K77" s="7">
        <v>2.2621571627982053</v>
      </c>
      <c r="L77" s="7"/>
    </row>
    <row r="78" spans="6:12" ht="15.75" thickBot="1" x14ac:dyDescent="0.3"/>
    <row r="79" spans="6:12" x14ac:dyDescent="0.25">
      <c r="F79" s="8" t="s">
        <v>45</v>
      </c>
      <c r="G79" s="8" t="s">
        <v>17</v>
      </c>
      <c r="H79" s="8" t="s">
        <v>16</v>
      </c>
      <c r="J79" s="8" t="s">
        <v>46</v>
      </c>
      <c r="K79" s="8" t="s">
        <v>17</v>
      </c>
      <c r="L79" s="8" t="s">
        <v>16</v>
      </c>
    </row>
    <row r="80" spans="6:12" x14ac:dyDescent="0.25">
      <c r="F80" s="6" t="s">
        <v>29</v>
      </c>
      <c r="G80" s="6">
        <v>272842.0197</v>
      </c>
      <c r="H80" s="6">
        <v>219122.4163176</v>
      </c>
      <c r="J80" s="6" t="s">
        <v>29</v>
      </c>
      <c r="K80" s="6">
        <v>272842.0197</v>
      </c>
      <c r="L80" s="6">
        <v>217751.7231112</v>
      </c>
    </row>
    <row r="81" spans="6:12" x14ac:dyDescent="0.25">
      <c r="F81" s="6" t="s">
        <v>30</v>
      </c>
      <c r="G81" s="6">
        <v>0</v>
      </c>
      <c r="H81" s="6">
        <v>2135507.6329247816</v>
      </c>
      <c r="J81" s="6" t="s">
        <v>30</v>
      </c>
      <c r="K81" s="6">
        <v>0</v>
      </c>
      <c r="L81" s="6">
        <v>5443362.7372067058</v>
      </c>
    </row>
    <row r="82" spans="6:12" x14ac:dyDescent="0.25">
      <c r="F82" s="6" t="s">
        <v>31</v>
      </c>
      <c r="G82" s="6">
        <v>10</v>
      </c>
      <c r="H82" s="6">
        <v>10</v>
      </c>
      <c r="J82" s="6" t="s">
        <v>31</v>
      </c>
      <c r="K82" s="6">
        <v>10</v>
      </c>
      <c r="L82" s="6">
        <v>10</v>
      </c>
    </row>
    <row r="83" spans="6:12" x14ac:dyDescent="0.25">
      <c r="F83" s="6" t="s">
        <v>32</v>
      </c>
      <c r="G83" s="6" t="e">
        <v>#DIV/0!</v>
      </c>
      <c r="H83" s="6"/>
      <c r="J83" s="6" t="s">
        <v>32</v>
      </c>
      <c r="K83" s="6" t="e">
        <v>#DIV/0!</v>
      </c>
      <c r="L83" s="6"/>
    </row>
    <row r="84" spans="6:12" x14ac:dyDescent="0.25">
      <c r="F84" s="6" t="s">
        <v>33</v>
      </c>
      <c r="G84" s="6">
        <v>0</v>
      </c>
      <c r="H84" s="6"/>
      <c r="J84" s="6" t="s">
        <v>33</v>
      </c>
      <c r="K84" s="6">
        <v>0</v>
      </c>
      <c r="L84" s="6"/>
    </row>
    <row r="85" spans="6:12" x14ac:dyDescent="0.25">
      <c r="F85" s="6" t="s">
        <v>34</v>
      </c>
      <c r="G85" s="6">
        <v>9</v>
      </c>
      <c r="H85" s="6"/>
      <c r="J85" s="6" t="s">
        <v>34</v>
      </c>
      <c r="K85" s="6">
        <v>9</v>
      </c>
      <c r="L85" s="6"/>
    </row>
    <row r="86" spans="6:12" x14ac:dyDescent="0.25">
      <c r="F86" s="6" t="s">
        <v>35</v>
      </c>
      <c r="G86" s="6">
        <v>116.24712840547238</v>
      </c>
      <c r="H86" s="6"/>
      <c r="J86" s="6" t="s">
        <v>35</v>
      </c>
      <c r="K86" s="6">
        <v>74.669195552821435</v>
      </c>
      <c r="L86" s="6"/>
    </row>
    <row r="87" spans="6:12" x14ac:dyDescent="0.25">
      <c r="F87" s="6" t="s">
        <v>36</v>
      </c>
      <c r="G87" s="6">
        <v>6.5496464397416631E-16</v>
      </c>
      <c r="H87" s="6"/>
      <c r="J87" s="6" t="s">
        <v>36</v>
      </c>
      <c r="K87" s="6">
        <v>3.505112527887042E-14</v>
      </c>
      <c r="L87" s="6"/>
    </row>
    <row r="88" spans="6:12" x14ac:dyDescent="0.25">
      <c r="F88" s="6" t="s">
        <v>37</v>
      </c>
      <c r="G88" s="6">
        <v>1.8331129326562374</v>
      </c>
      <c r="H88" s="6"/>
      <c r="J88" s="6" t="s">
        <v>37</v>
      </c>
      <c r="K88" s="6">
        <v>1.8331129326562374</v>
      </c>
      <c r="L88" s="6"/>
    </row>
    <row r="89" spans="6:12" x14ac:dyDescent="0.25">
      <c r="F89" s="6" t="s">
        <v>38</v>
      </c>
      <c r="G89" s="6">
        <v>1.3099292879483326E-15</v>
      </c>
      <c r="H89" s="6"/>
      <c r="J89" s="6" t="s">
        <v>38</v>
      </c>
      <c r="K89" s="6">
        <v>7.0102250557740839E-14</v>
      </c>
      <c r="L89" s="6"/>
    </row>
    <row r="90" spans="6:12" ht="15.75" thickBot="1" x14ac:dyDescent="0.3">
      <c r="F90" s="7" t="s">
        <v>39</v>
      </c>
      <c r="G90" s="7">
        <v>2.2621571627982053</v>
      </c>
      <c r="H90" s="7"/>
      <c r="J90" s="7" t="s">
        <v>39</v>
      </c>
      <c r="K90" s="7">
        <v>2.2621571627982053</v>
      </c>
      <c r="L90" s="7"/>
    </row>
    <row r="91" spans="6:12" ht="15.75" thickBot="1" x14ac:dyDescent="0.3"/>
    <row r="92" spans="6:12" x14ac:dyDescent="0.25">
      <c r="F92" s="8" t="s">
        <v>47</v>
      </c>
      <c r="G92" s="8" t="s">
        <v>17</v>
      </c>
      <c r="H92" s="8" t="s">
        <v>16</v>
      </c>
      <c r="J92" s="8" t="s">
        <v>48</v>
      </c>
      <c r="K92" s="8" t="s">
        <v>17</v>
      </c>
      <c r="L92" s="8" t="s">
        <v>16</v>
      </c>
    </row>
    <row r="93" spans="6:12" x14ac:dyDescent="0.25">
      <c r="F93" s="6" t="s">
        <v>29</v>
      </c>
      <c r="G93" s="6">
        <v>282380</v>
      </c>
      <c r="H93" s="6">
        <v>233701.36079999999</v>
      </c>
      <c r="J93" s="6" t="s">
        <v>29</v>
      </c>
      <c r="K93" s="6">
        <v>293130</v>
      </c>
      <c r="L93" s="6">
        <v>236575.13994999998</v>
      </c>
    </row>
    <row r="94" spans="6:12" x14ac:dyDescent="0.25">
      <c r="F94" s="6" t="s">
        <v>30</v>
      </c>
      <c r="G94" s="6">
        <v>0</v>
      </c>
      <c r="H94" s="6">
        <v>5502067.883065464</v>
      </c>
      <c r="J94" s="6" t="s">
        <v>30</v>
      </c>
      <c r="K94" s="6">
        <v>0</v>
      </c>
      <c r="L94" s="6">
        <v>5588451.7873527464</v>
      </c>
    </row>
    <row r="95" spans="6:12" x14ac:dyDescent="0.25">
      <c r="F95" s="6" t="s">
        <v>31</v>
      </c>
      <c r="G95" s="6">
        <v>10</v>
      </c>
      <c r="H95" s="6">
        <v>10</v>
      </c>
      <c r="J95" s="6" t="s">
        <v>31</v>
      </c>
      <c r="K95" s="6">
        <v>10</v>
      </c>
      <c r="L95" s="6">
        <v>10</v>
      </c>
    </row>
    <row r="96" spans="6:12" x14ac:dyDescent="0.25">
      <c r="F96" s="6" t="s">
        <v>32</v>
      </c>
      <c r="G96" s="6" t="e">
        <v>#DIV/0!</v>
      </c>
      <c r="H96" s="6"/>
      <c r="J96" s="6" t="s">
        <v>32</v>
      </c>
      <c r="K96" s="6" t="e">
        <v>#DIV/0!</v>
      </c>
      <c r="L96" s="6"/>
    </row>
    <row r="97" spans="6:12" x14ac:dyDescent="0.25">
      <c r="F97" s="6" t="s">
        <v>33</v>
      </c>
      <c r="G97" s="6">
        <v>0</v>
      </c>
      <c r="H97" s="6"/>
      <c r="J97" s="6" t="s">
        <v>33</v>
      </c>
      <c r="K97" s="6">
        <v>0</v>
      </c>
      <c r="L97" s="6"/>
    </row>
    <row r="98" spans="6:12" x14ac:dyDescent="0.25">
      <c r="F98" s="6" t="s">
        <v>34</v>
      </c>
      <c r="G98" s="6">
        <v>9</v>
      </c>
      <c r="H98" s="6"/>
      <c r="J98" s="6" t="s">
        <v>34</v>
      </c>
      <c r="K98" s="6">
        <v>9</v>
      </c>
      <c r="L98" s="6"/>
    </row>
    <row r="99" spans="6:12" x14ac:dyDescent="0.25">
      <c r="F99" s="6" t="s">
        <v>35</v>
      </c>
      <c r="G99" s="6">
        <v>65.625927889652303</v>
      </c>
      <c r="H99" s="6"/>
      <c r="J99" s="6" t="s">
        <v>35</v>
      </c>
      <c r="K99" s="6">
        <v>75.652655650325869</v>
      </c>
      <c r="L99" s="6"/>
    </row>
    <row r="100" spans="6:12" x14ac:dyDescent="0.25">
      <c r="F100" s="6" t="s">
        <v>36</v>
      </c>
      <c r="G100" s="6">
        <v>1.1180282887847845E-13</v>
      </c>
      <c r="H100" s="6"/>
      <c r="J100" s="6" t="s">
        <v>36</v>
      </c>
      <c r="K100" s="6">
        <v>3.1162448972270956E-14</v>
      </c>
      <c r="L100" s="6"/>
    </row>
    <row r="101" spans="6:12" x14ac:dyDescent="0.25">
      <c r="F101" s="6" t="s">
        <v>37</v>
      </c>
      <c r="G101" s="6">
        <v>1.8331129326562374</v>
      </c>
      <c r="H101" s="6"/>
      <c r="J101" s="6" t="s">
        <v>37</v>
      </c>
      <c r="K101" s="6">
        <v>1.8331129326562374</v>
      </c>
      <c r="L101" s="6"/>
    </row>
    <row r="102" spans="6:12" x14ac:dyDescent="0.25">
      <c r="F102" s="6" t="s">
        <v>38</v>
      </c>
      <c r="G102" s="6">
        <v>2.2360565775695691E-13</v>
      </c>
      <c r="H102" s="6"/>
      <c r="J102" s="6" t="s">
        <v>38</v>
      </c>
      <c r="K102" s="6">
        <v>6.2324897944541912E-14</v>
      </c>
      <c r="L102" s="6"/>
    </row>
    <row r="103" spans="6:12" ht="15.75" thickBot="1" x14ac:dyDescent="0.3">
      <c r="F103" s="7" t="s">
        <v>39</v>
      </c>
      <c r="G103" s="7">
        <v>2.2621571627982053</v>
      </c>
      <c r="H103" s="7"/>
      <c r="J103" s="7" t="s">
        <v>39</v>
      </c>
      <c r="K103" s="7">
        <v>2.2621571627982053</v>
      </c>
      <c r="L103" s="7"/>
    </row>
    <row r="104" spans="6:12" ht="15.75" thickBot="1" x14ac:dyDescent="0.3"/>
    <row r="105" spans="6:12" x14ac:dyDescent="0.25">
      <c r="F105" s="8" t="s">
        <v>49</v>
      </c>
      <c r="G105" s="8" t="s">
        <v>17</v>
      </c>
      <c r="H105" s="8" t="s">
        <v>16</v>
      </c>
      <c r="J105" s="8" t="s">
        <v>50</v>
      </c>
      <c r="K105" s="8" t="s">
        <v>17</v>
      </c>
      <c r="L105" s="8" t="s">
        <v>16</v>
      </c>
    </row>
    <row r="106" spans="6:12" x14ac:dyDescent="0.25">
      <c r="F106" s="6" t="s">
        <v>29</v>
      </c>
      <c r="G106" s="6">
        <v>300243.511</v>
      </c>
      <c r="H106" s="6">
        <v>239532.78156000003</v>
      </c>
      <c r="J106" s="6" t="s">
        <v>29</v>
      </c>
      <c r="K106" s="6">
        <v>292872.65649999998</v>
      </c>
      <c r="L106" s="6">
        <v>241153.45639000001</v>
      </c>
    </row>
    <row r="107" spans="6:12" x14ac:dyDescent="0.25">
      <c r="F107" s="6" t="s">
        <v>30</v>
      </c>
      <c r="G107" s="6">
        <v>0</v>
      </c>
      <c r="H107" s="6">
        <v>6464690.9335635761</v>
      </c>
      <c r="J107" s="6" t="s">
        <v>30</v>
      </c>
      <c r="K107" s="6">
        <v>0</v>
      </c>
      <c r="L107" s="6">
        <v>4102689.6683246773</v>
      </c>
    </row>
    <row r="108" spans="6:12" x14ac:dyDescent="0.25">
      <c r="F108" s="6" t="s">
        <v>31</v>
      </c>
      <c r="G108" s="6">
        <v>10</v>
      </c>
      <c r="H108" s="6">
        <v>10</v>
      </c>
      <c r="J108" s="6" t="s">
        <v>31</v>
      </c>
      <c r="K108" s="6">
        <v>10</v>
      </c>
      <c r="L108" s="6">
        <v>10</v>
      </c>
    </row>
    <row r="109" spans="6:12" x14ac:dyDescent="0.25">
      <c r="F109" s="6" t="s">
        <v>32</v>
      </c>
      <c r="G109" s="6" t="e">
        <v>#DIV/0!</v>
      </c>
      <c r="H109" s="6"/>
      <c r="J109" s="6" t="s">
        <v>32</v>
      </c>
      <c r="K109" s="6" t="e">
        <v>#DIV/0!</v>
      </c>
      <c r="L109" s="6"/>
    </row>
    <row r="110" spans="6:12" x14ac:dyDescent="0.25">
      <c r="F110" s="6" t="s">
        <v>33</v>
      </c>
      <c r="G110" s="6">
        <v>0</v>
      </c>
      <c r="H110" s="6"/>
      <c r="J110" s="6" t="s">
        <v>33</v>
      </c>
      <c r="K110" s="6">
        <v>0</v>
      </c>
      <c r="L110" s="6"/>
    </row>
    <row r="111" spans="6:12" x14ac:dyDescent="0.25">
      <c r="F111" s="6" t="s">
        <v>34</v>
      </c>
      <c r="G111" s="6">
        <v>9</v>
      </c>
      <c r="H111" s="6"/>
      <c r="J111" s="6" t="s">
        <v>34</v>
      </c>
      <c r="K111" s="6">
        <v>9</v>
      </c>
      <c r="L111" s="6"/>
    </row>
    <row r="112" spans="6:12" x14ac:dyDescent="0.25">
      <c r="F112" s="6" t="s">
        <v>35</v>
      </c>
      <c r="G112" s="6">
        <v>75.507756662587198</v>
      </c>
      <c r="H112" s="6"/>
      <c r="J112" s="6" t="s">
        <v>35</v>
      </c>
      <c r="K112" s="6">
        <v>80.745339628541004</v>
      </c>
      <c r="L112" s="6"/>
    </row>
    <row r="113" spans="6:12" x14ac:dyDescent="0.25">
      <c r="F113" s="6" t="s">
        <v>36</v>
      </c>
      <c r="G113" s="6">
        <v>3.1704021644352974E-14</v>
      </c>
      <c r="H113" s="6"/>
      <c r="J113" s="6" t="s">
        <v>36</v>
      </c>
      <c r="K113" s="6">
        <v>1.7351331118919513E-14</v>
      </c>
      <c r="L113" s="6"/>
    </row>
    <row r="114" spans="6:12" x14ac:dyDescent="0.25">
      <c r="F114" s="6" t="s">
        <v>37</v>
      </c>
      <c r="G114" s="6">
        <v>1.8331129326562374</v>
      </c>
      <c r="H114" s="6"/>
      <c r="J114" s="6" t="s">
        <v>37</v>
      </c>
      <c r="K114" s="6">
        <v>1.8331129326562374</v>
      </c>
      <c r="L114" s="6"/>
    </row>
    <row r="115" spans="6:12" x14ac:dyDescent="0.25">
      <c r="F115" s="6" t="s">
        <v>38</v>
      </c>
      <c r="G115" s="6">
        <v>6.3408043288705948E-14</v>
      </c>
      <c r="H115" s="6"/>
      <c r="J115" s="6" t="s">
        <v>38</v>
      </c>
      <c r="K115" s="6">
        <v>3.4702662237839026E-14</v>
      </c>
      <c r="L115" s="6"/>
    </row>
    <row r="116" spans="6:12" ht="15.75" thickBot="1" x14ac:dyDescent="0.3">
      <c r="F116" s="7" t="s">
        <v>39</v>
      </c>
      <c r="G116" s="7">
        <v>2.2621571627982053</v>
      </c>
      <c r="H116" s="7"/>
      <c r="J116" s="7" t="s">
        <v>39</v>
      </c>
      <c r="K116" s="7">
        <v>2.2621571627982053</v>
      </c>
      <c r="L11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</vt:lpstr>
      <vt:lpstr>PH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Koen Herps</cp:lastModifiedBy>
  <dcterms:created xsi:type="dcterms:W3CDTF">2024-12-17T23:41:09Z</dcterms:created>
  <dcterms:modified xsi:type="dcterms:W3CDTF">2026-05-21T06:41:29Z</dcterms:modified>
</cp:coreProperties>
</file>